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henrydalby/Desktop/Data Center Model Project/DCM Review/FINAL/"/>
    </mc:Choice>
  </mc:AlternateContent>
  <xr:revisionPtr revIDLastSave="0" documentId="13_ncr:1_{5545307E-FEBB-AC40-9B41-C1DAF845C351}" xr6:coauthVersionLast="47" xr6:coauthVersionMax="47" xr10:uidLastSave="{00000000-0000-0000-0000-000000000000}"/>
  <bookViews>
    <workbookView xWindow="3840" yWindow="660" windowWidth="25560" windowHeight="18460" firstSheet="15" activeTab="19" xr2:uid="{00000000-000D-0000-FFFF-FFFF00000000}"/>
  </bookViews>
  <sheets>
    <sheet name="Cover" sheetId="1" r:id="rId1"/>
    <sheet name="Model map" sheetId="2" r:id="rId2"/>
    <sheet name="Limitations" sheetId="3" r:id="rId3"/>
    <sheet name="▸ INPUTS" sheetId="4" r:id="rId4"/>
    <sheet name="Sources" sheetId="5" r:id="rId5"/>
    <sheet name="GPU Specs" sheetId="6" r:id="rId6"/>
    <sheet name="Compute Price Data" sheetId="7" r:id="rId7"/>
    <sheet name="Interconnection Queue" sheetId="8" r:id="rId8"/>
    <sheet name="Power Build-up" sheetId="9" r:id="rId9"/>
    <sheet name="WACC Build-up" sheetId="10" r:id="rId10"/>
    <sheet name="Assumptions" sheetId="11" r:id="rId11"/>
    <sheet name="▸ CALCULATIONS" sheetId="12" r:id="rId12"/>
    <sheet name="Capex Stack" sheetId="13" r:id="rId13"/>
    <sheet name="Unit Economics" sheetId="14" r:id="rId14"/>
    <sheet name="Buildout Schedule" sheetId="15" r:id="rId15"/>
    <sheet name="Calculations" sheetId="16" r:id="rId16"/>
    <sheet name="Country Engine" sheetId="17" r:id="rId17"/>
    <sheet name="Price Floor" sheetId="23" r:id="rId18"/>
    <sheet name="▸ OUTPUTS" sheetId="18" r:id="rId19"/>
    <sheet name="Comparison" sheetId="19" r:id="rId20"/>
    <sheet name="Sensitivity" sheetId="20" r:id="rId21"/>
    <sheet name="Price Path" sheetId="21" r:id="rId22"/>
    <sheet name="Country detail" sheetId="24" r:id="rId23"/>
    <sheet name="Power Timing" sheetId="26" r:id="rId24"/>
    <sheet name="Deal Comparison" sheetId="27" r:id="rId25"/>
    <sheet name="Asset Life" sheetId="28" r:id="rId26"/>
    <sheet name="Energy Security" sheetId="29" r:id="rId27"/>
    <sheet name="Three-Lens View" sheetId="30" r:id="rId28"/>
    <sheet name="Power Cost" sheetId="31" r:id="rId29"/>
    <sheet name="Revenue Mix" sheetId="36" r:id="rId30"/>
    <sheet name="▸ CHECKS" sheetId="32" r:id="rId31"/>
    <sheet name="Checks" sheetId="33" r:id="rId32"/>
    <sheet name="Review" sheetId="34" r:id="rId33"/>
  </sheets>
  <definedNames>
    <definedName name="Compute_P0">Assumptions!$G$14</definedName>
    <definedName name="Deal_WACC_premium">Assumptions!$G$46</definedName>
    <definedName name="ErrorTolerance">Checks!$C$2</definedName>
    <definedName name="Facility_capex_MW">Assumptions!$G$10</definedName>
    <definedName name="Facility_salvage_pct">Assumptions!$G$18</definedName>
    <definedName name="Floor_ext_high">Assumptions!$D$68</definedName>
    <definedName name="Floor_ext_low">Assumptions!$D$67</definedName>
    <definedName name="FloorTolerance">Assumptions!$D$69</definedName>
    <definedName name="GPU_life">Assumptions!$G$16</definedName>
    <definedName name="GPU_salvage_pct">Assumptions!$G$19</definedName>
    <definedName name="Hours_per_year">Assumptions!$F$28</definedName>
    <definedName name="Insurance_rate">Assumptions!$F$30</definedName>
    <definedName name="IT_load_MW">Assumptions!$G$21</definedName>
    <definedName name="List_Country">Assumptions!$B$50:$B$54</definedName>
    <definedName name="List_ReviewStatus">Assumptions!$B$58:$B$60</definedName>
    <definedName name="List_Scenario">Assumptions!$D$9:$F$9</definedName>
    <definedName name="OM_fixed">Assumptions!$G$17</definedName>
    <definedName name="Paid_occupancy">Assumptions!$G$15</definedName>
    <definedName name="Price_decline">Assumptions!$G$65</definedName>
    <definedName name="Price_floor">Assumptions!$G$66</definedName>
    <definedName name="Prop_tax_abatement">Assumptions!$F$31</definedName>
    <definedName name="Ramp_yr1">Assumptions!$F$32</definedName>
    <definedName name="Ramp_yr2">Assumptions!$F$33</definedName>
    <definedName name="Risk_free">Assumptions!$F$39</definedName>
    <definedName name="Shadow_carbon_price">Assumptions!$F$40</definedName>
    <definedName name="TTP_disp_hi">'Interconnection Queue'!$F$4</definedName>
    <definedName name="TTP_disp_lo">'Interconnection Queue'!$F$5</definedName>
    <definedName name="Unit_scale">Assumptions!$F$29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6" l="1"/>
  <c r="A1" i="24"/>
  <c r="G16" i="36"/>
  <c r="F16" i="36"/>
  <c r="E16" i="36"/>
  <c r="D16" i="36"/>
  <c r="C16" i="36"/>
  <c r="B5" i="36"/>
  <c r="C35" i="33"/>
  <c r="B35" i="33"/>
  <c r="D34" i="33"/>
  <c r="C34" i="33"/>
  <c r="B34" i="33"/>
  <c r="D33" i="33"/>
  <c r="B33" i="33"/>
  <c r="B30" i="33"/>
  <c r="B29" i="33"/>
  <c r="B36" i="31"/>
  <c r="C36" i="31" s="1"/>
  <c r="B35" i="31"/>
  <c r="C35" i="31" s="1"/>
  <c r="B34" i="31"/>
  <c r="D34" i="31" s="1"/>
  <c r="B33" i="31"/>
  <c r="D33" i="31" s="1"/>
  <c r="B32" i="31"/>
  <c r="B28" i="31"/>
  <c r="D28" i="31" s="1"/>
  <c r="B27" i="31"/>
  <c r="F27" i="31" s="1"/>
  <c r="B26" i="31"/>
  <c r="D26" i="31" s="1"/>
  <c r="B25" i="31"/>
  <c r="C25" i="31" s="1"/>
  <c r="B24" i="31"/>
  <c r="F24" i="31" s="1"/>
  <c r="B20" i="31"/>
  <c r="B19" i="31"/>
  <c r="B18" i="31"/>
  <c r="C18" i="31" s="1"/>
  <c r="B17" i="31"/>
  <c r="C17" i="31" s="1"/>
  <c r="B16" i="31"/>
  <c r="D16" i="31" s="1"/>
  <c r="F10" i="31"/>
  <c r="B10" i="31"/>
  <c r="F9" i="31"/>
  <c r="B9" i="31"/>
  <c r="F8" i="31"/>
  <c r="B8" i="31"/>
  <c r="F7" i="31"/>
  <c r="B7" i="31"/>
  <c r="F6" i="31"/>
  <c r="B6" i="31"/>
  <c r="B9" i="30"/>
  <c r="B17" i="30" s="1"/>
  <c r="B8" i="30"/>
  <c r="B16" i="30" s="1"/>
  <c r="B7" i="30"/>
  <c r="B15" i="30" s="1"/>
  <c r="B6" i="30"/>
  <c r="B14" i="30" s="1"/>
  <c r="B5" i="30"/>
  <c r="B13" i="30" s="1"/>
  <c r="C15" i="29"/>
  <c r="E9" i="29"/>
  <c r="D9" i="29"/>
  <c r="C9" i="29"/>
  <c r="B9" i="29"/>
  <c r="E8" i="29"/>
  <c r="D8" i="29"/>
  <c r="C8" i="29"/>
  <c r="B8" i="29"/>
  <c r="E7" i="29"/>
  <c r="D7" i="29"/>
  <c r="C7" i="29"/>
  <c r="B7" i="29"/>
  <c r="E6" i="29"/>
  <c r="D6" i="29"/>
  <c r="C6" i="29"/>
  <c r="B6" i="29"/>
  <c r="E5" i="29"/>
  <c r="D5" i="29"/>
  <c r="C5" i="29"/>
  <c r="B5" i="29"/>
  <c r="C11" i="28"/>
  <c r="B9" i="28"/>
  <c r="B8" i="28"/>
  <c r="B7" i="28"/>
  <c r="B6" i="28"/>
  <c r="B5" i="28"/>
  <c r="G4" i="27"/>
  <c r="F4" i="27"/>
  <c r="E4" i="27"/>
  <c r="D4" i="27"/>
  <c r="C4" i="27"/>
  <c r="B25" i="26"/>
  <c r="B24" i="26"/>
  <c r="B23" i="26"/>
  <c r="B22" i="26"/>
  <c r="B21" i="26"/>
  <c r="G4" i="26"/>
  <c r="F4" i="26"/>
  <c r="E4" i="26"/>
  <c r="D4" i="26"/>
  <c r="C4" i="26"/>
  <c r="B15" i="24"/>
  <c r="B5" i="24"/>
  <c r="B4" i="24"/>
  <c r="C29" i="23"/>
  <c r="C26" i="23"/>
  <c r="C25" i="23"/>
  <c r="G5" i="23"/>
  <c r="F5" i="23"/>
  <c r="E5" i="23"/>
  <c r="D5" i="23"/>
  <c r="C5" i="23"/>
  <c r="E10" i="21"/>
  <c r="E9" i="21"/>
  <c r="E8" i="21"/>
  <c r="E7" i="21"/>
  <c r="E6" i="21"/>
  <c r="M63" i="20"/>
  <c r="L63" i="20"/>
  <c r="H60" i="20"/>
  <c r="G60" i="20"/>
  <c r="F59" i="20"/>
  <c r="E59" i="20"/>
  <c r="C36" i="20"/>
  <c r="C46" i="19"/>
  <c r="G42" i="19"/>
  <c r="G9" i="30" s="1"/>
  <c r="F42" i="19"/>
  <c r="G8" i="30" s="1"/>
  <c r="E42" i="19"/>
  <c r="G7" i="30" s="1"/>
  <c r="D42" i="19"/>
  <c r="G6" i="30" s="1"/>
  <c r="C42" i="19"/>
  <c r="G5" i="30" s="1"/>
  <c r="H40" i="19"/>
  <c r="G14" i="19"/>
  <c r="F14" i="19"/>
  <c r="E14" i="19"/>
  <c r="D14" i="19"/>
  <c r="C14" i="19"/>
  <c r="G13" i="19"/>
  <c r="F13" i="19"/>
  <c r="E13" i="19"/>
  <c r="D13" i="19"/>
  <c r="C13" i="19"/>
  <c r="G12" i="19"/>
  <c r="F12" i="19"/>
  <c r="E12" i="19"/>
  <c r="D12" i="19"/>
  <c r="C12" i="19"/>
  <c r="G11" i="19"/>
  <c r="G7" i="23" s="1"/>
  <c r="F11" i="19"/>
  <c r="F7" i="23" s="1"/>
  <c r="E11" i="19"/>
  <c r="E7" i="23" s="1"/>
  <c r="D11" i="19"/>
  <c r="D7" i="23" s="1"/>
  <c r="C11" i="19"/>
  <c r="C7" i="23" s="1"/>
  <c r="B4" i="19"/>
  <c r="C628" i="17"/>
  <c r="C627" i="17"/>
  <c r="C622" i="17"/>
  <c r="C584" i="17"/>
  <c r="C583" i="17"/>
  <c r="C578" i="17"/>
  <c r="C540" i="17"/>
  <c r="C539" i="17"/>
  <c r="C534" i="17"/>
  <c r="C496" i="17"/>
  <c r="C495" i="17"/>
  <c r="C490" i="17"/>
  <c r="C452" i="17"/>
  <c r="C451" i="17"/>
  <c r="C446" i="17"/>
  <c r="C408" i="17"/>
  <c r="C407" i="17"/>
  <c r="C364" i="17"/>
  <c r="C363" i="17"/>
  <c r="C320" i="17"/>
  <c r="C319" i="17"/>
  <c r="C315" i="17" s="1"/>
  <c r="C316" i="17" s="1"/>
  <c r="C276" i="17"/>
  <c r="C275" i="17"/>
  <c r="C232" i="17"/>
  <c r="C231" i="17"/>
  <c r="C188" i="17"/>
  <c r="C187" i="17"/>
  <c r="C183" i="17" s="1"/>
  <c r="C184" i="17" s="1"/>
  <c r="C144" i="17"/>
  <c r="C143" i="17"/>
  <c r="C139" i="17" s="1"/>
  <c r="C140" i="17" s="1"/>
  <c r="C100" i="17"/>
  <c r="C99" i="17"/>
  <c r="C95" i="17" s="1"/>
  <c r="C96" i="17" s="1"/>
  <c r="C56" i="17"/>
  <c r="C55" i="17"/>
  <c r="C12" i="17"/>
  <c r="C11" i="17"/>
  <c r="C9" i="14"/>
  <c r="C8" i="13"/>
  <c r="C6" i="13"/>
  <c r="C5" i="13"/>
  <c r="G66" i="11"/>
  <c r="G65" i="11"/>
  <c r="G46" i="11"/>
  <c r="G45" i="11"/>
  <c r="G15" i="11" s="1"/>
  <c r="C7" i="14" s="1"/>
  <c r="F26" i="11"/>
  <c r="E26" i="11"/>
  <c r="D26" i="11"/>
  <c r="F24" i="11"/>
  <c r="E24" i="11"/>
  <c r="D24" i="11"/>
  <c r="E23" i="11"/>
  <c r="F22" i="11"/>
  <c r="E22" i="11"/>
  <c r="D22" i="11"/>
  <c r="G21" i="11"/>
  <c r="G19" i="11"/>
  <c r="G18" i="11"/>
  <c r="G17" i="11"/>
  <c r="G16" i="11"/>
  <c r="G14" i="11"/>
  <c r="F13" i="11"/>
  <c r="E13" i="11"/>
  <c r="D13" i="11"/>
  <c r="G12" i="11"/>
  <c r="I61" i="20" s="1"/>
  <c r="G11" i="11"/>
  <c r="C5" i="14" s="1"/>
  <c r="G10" i="11"/>
  <c r="C8" i="14" s="1"/>
  <c r="E4" i="10"/>
  <c r="D9" i="9"/>
  <c r="E9" i="9" s="1"/>
  <c r="D8" i="9"/>
  <c r="E8" i="9" s="1"/>
  <c r="D7" i="9"/>
  <c r="E7" i="9" s="1"/>
  <c r="D6" i="9"/>
  <c r="E6" i="9" s="1"/>
  <c r="D5" i="9"/>
  <c r="E5" i="9" s="1"/>
  <c r="C5" i="8"/>
  <c r="H51" i="11" s="1"/>
  <c r="C4" i="8"/>
  <c r="F51" i="11" s="1"/>
  <c r="C3" i="8"/>
  <c r="G51" i="11" s="1"/>
  <c r="C10" i="7"/>
  <c r="B10" i="7"/>
  <c r="C9" i="7"/>
  <c r="B9" i="7"/>
  <c r="C8" i="7"/>
  <c r="B8" i="7"/>
  <c r="C7" i="7"/>
  <c r="B7" i="7"/>
  <c r="C6" i="7"/>
  <c r="B6" i="7"/>
  <c r="F8" i="6"/>
  <c r="F7" i="6"/>
  <c r="E36" i="16"/>
  <c r="F36" i="16" s="1"/>
  <c r="C15" i="16"/>
  <c r="G22" i="11" l="1"/>
  <c r="N64" i="20" s="1"/>
  <c r="G13" i="11"/>
  <c r="C8" i="16" s="1"/>
  <c r="G26" i="11"/>
  <c r="C9" i="20" s="1"/>
  <c r="B21" i="33"/>
  <c r="C21" i="33" s="1"/>
  <c r="C13" i="9"/>
  <c r="E35" i="33"/>
  <c r="C7" i="16"/>
  <c r="C15" i="14"/>
  <c r="C10" i="13" s="1"/>
  <c r="F5" i="29"/>
  <c r="E5" i="30" s="1"/>
  <c r="F9" i="29"/>
  <c r="E9" i="30" s="1"/>
  <c r="D17" i="30" s="1"/>
  <c r="E34" i="33"/>
  <c r="C7" i="13"/>
  <c r="C9" i="13" s="1"/>
  <c r="F8" i="29"/>
  <c r="E8" i="30" s="1"/>
  <c r="C271" i="17"/>
  <c r="C272" i="17" s="1"/>
  <c r="F7" i="29"/>
  <c r="E7" i="30" s="1"/>
  <c r="C19" i="15"/>
  <c r="F4" i="8"/>
  <c r="F52" i="11" s="1"/>
  <c r="F18" i="31" s="1"/>
  <c r="H18" i="31" s="1"/>
  <c r="B23" i="33"/>
  <c r="C23" i="33" s="1"/>
  <c r="C4" i="14"/>
  <c r="C10" i="14" s="1"/>
  <c r="C12" i="14" s="1"/>
  <c r="C19" i="14" s="1"/>
  <c r="C5" i="16"/>
  <c r="C23" i="16" s="1"/>
  <c r="E33" i="33"/>
  <c r="G20" i="11"/>
  <c r="C145" i="17"/>
  <c r="C51" i="17"/>
  <c r="C52" i="17" s="1"/>
  <c r="C227" i="17"/>
  <c r="C228" i="17" s="1"/>
  <c r="C32" i="23"/>
  <c r="C29" i="33" s="1"/>
  <c r="H5" i="30"/>
  <c r="H9" i="30"/>
  <c r="H7" i="30"/>
  <c r="E8" i="19"/>
  <c r="E25" i="19" s="1"/>
  <c r="F8" i="19"/>
  <c r="F25" i="19" s="1"/>
  <c r="G8" i="19"/>
  <c r="G25" i="19" s="1"/>
  <c r="H6" i="30"/>
  <c r="C8" i="19"/>
  <c r="C25" i="19" s="1"/>
  <c r="D8" i="19"/>
  <c r="D25" i="19" s="1"/>
  <c r="H8" i="30"/>
  <c r="F26" i="31"/>
  <c r="H26" i="31" s="1"/>
  <c r="D17" i="31"/>
  <c r="G17" i="31" s="1"/>
  <c r="D25" i="31"/>
  <c r="E25" i="31" s="1"/>
  <c r="C27" i="31"/>
  <c r="C33" i="31"/>
  <c r="E33" i="31" s="1"/>
  <c r="D27" i="31"/>
  <c r="C26" i="31"/>
  <c r="E26" i="31" s="1"/>
  <c r="F17" i="31"/>
  <c r="H17" i="31" s="1"/>
  <c r="C16" i="31"/>
  <c r="E16" i="31" s="1"/>
  <c r="C28" i="31"/>
  <c r="E28" i="31" s="1"/>
  <c r="F28" i="31"/>
  <c r="H28" i="31" s="1"/>
  <c r="D36" i="31"/>
  <c r="E36" i="31" s="1"/>
  <c r="D15" i="24"/>
  <c r="G36" i="16"/>
  <c r="C8" i="10"/>
  <c r="F8" i="10" s="1"/>
  <c r="C7" i="10"/>
  <c r="F7" i="10" s="1"/>
  <c r="C6" i="10"/>
  <c r="F6" i="10" s="1"/>
  <c r="C9" i="10"/>
  <c r="F9" i="10" s="1"/>
  <c r="E15" i="11"/>
  <c r="D15" i="11"/>
  <c r="F15" i="11"/>
  <c r="C10" i="10"/>
  <c r="F10" i="10" s="1"/>
  <c r="C15" i="24"/>
  <c r="F5" i="8"/>
  <c r="C59" i="17"/>
  <c r="C9" i="17"/>
  <c r="H27" i="31"/>
  <c r="H24" i="31"/>
  <c r="G47" i="19"/>
  <c r="G48" i="19" s="1"/>
  <c r="F21" i="19"/>
  <c r="F11" i="23" s="1"/>
  <c r="D47" i="19"/>
  <c r="D48" i="19" s="1"/>
  <c r="E21" i="19"/>
  <c r="E11" i="23" s="1"/>
  <c r="F47" i="19"/>
  <c r="F48" i="19" s="1"/>
  <c r="C21" i="19"/>
  <c r="C11" i="23" s="1"/>
  <c r="G21" i="19"/>
  <c r="G11" i="23" s="1"/>
  <c r="C47" i="19"/>
  <c r="C48" i="19" s="1"/>
  <c r="C625" i="17"/>
  <c r="C581" i="17"/>
  <c r="E47" i="19"/>
  <c r="E48" i="19" s="1"/>
  <c r="C631" i="17"/>
  <c r="C541" i="17"/>
  <c r="C493" i="17"/>
  <c r="D21" i="19"/>
  <c r="D11" i="23" s="1"/>
  <c r="C585" i="17"/>
  <c r="C455" i="17"/>
  <c r="C405" i="17"/>
  <c r="C629" i="17"/>
  <c r="C537" i="17"/>
  <c r="C453" i="17"/>
  <c r="C411" i="17"/>
  <c r="C367" i="17"/>
  <c r="C317" i="17"/>
  <c r="C233" i="17"/>
  <c r="C409" i="17"/>
  <c r="C365" i="17"/>
  <c r="C323" i="17"/>
  <c r="C273" i="17"/>
  <c r="C361" i="17"/>
  <c r="C277" i="17"/>
  <c r="C235" i="17"/>
  <c r="C499" i="17"/>
  <c r="C191" i="17"/>
  <c r="C141" i="17"/>
  <c r="C497" i="17"/>
  <c r="C321" i="17"/>
  <c r="C229" i="17"/>
  <c r="C279" i="17"/>
  <c r="C185" i="17"/>
  <c r="C101" i="17"/>
  <c r="C543" i="17"/>
  <c r="C13" i="17"/>
  <c r="C103" i="17"/>
  <c r="C449" i="17"/>
  <c r="C147" i="17"/>
  <c r="C53" i="17"/>
  <c r="C587" i="17"/>
  <c r="C97" i="17"/>
  <c r="C189" i="17"/>
  <c r="C57" i="17"/>
  <c r="C15" i="17"/>
  <c r="F25" i="31"/>
  <c r="H25" i="31" s="1"/>
  <c r="D9" i="19"/>
  <c r="D17" i="19" s="1"/>
  <c r="C159" i="17"/>
  <c r="U547" i="17"/>
  <c r="D9" i="28"/>
  <c r="C15" i="33"/>
  <c r="B15" i="33"/>
  <c r="D6" i="28"/>
  <c r="D8" i="28"/>
  <c r="D7" i="28"/>
  <c r="D5" i="28"/>
  <c r="J632" i="17"/>
  <c r="J633" i="17" s="1"/>
  <c r="J634" i="17" s="1"/>
  <c r="I632" i="17"/>
  <c r="I633" i="17" s="1"/>
  <c r="I634" i="17" s="1"/>
  <c r="S632" i="17"/>
  <c r="S633" i="17" s="1"/>
  <c r="S634" i="17" s="1"/>
  <c r="M632" i="17"/>
  <c r="M633" i="17" s="1"/>
  <c r="M634" i="17" s="1"/>
  <c r="H632" i="17"/>
  <c r="H633" i="17" s="1"/>
  <c r="H634" i="17" s="1"/>
  <c r="L588" i="17"/>
  <c r="L589" i="17" s="1"/>
  <c r="L590" i="17" s="1"/>
  <c r="D588" i="17"/>
  <c r="D589" i="17" s="1"/>
  <c r="D590" i="17" s="1"/>
  <c r="P456" i="17"/>
  <c r="P457" i="17" s="1"/>
  <c r="P458" i="17" s="1"/>
  <c r="H456" i="17"/>
  <c r="H457" i="17" s="1"/>
  <c r="H458" i="17" s="1"/>
  <c r="V632" i="17"/>
  <c r="V633" i="17" s="1"/>
  <c r="V634" i="17" s="1"/>
  <c r="O456" i="17"/>
  <c r="O457" i="17" s="1"/>
  <c r="O458" i="17" s="1"/>
  <c r="U632" i="17"/>
  <c r="U633" i="17" s="1"/>
  <c r="U634" i="17" s="1"/>
  <c r="N456" i="17"/>
  <c r="N457" i="17" s="1"/>
  <c r="N458" i="17" s="1"/>
  <c r="D500" i="17"/>
  <c r="D501" i="17" s="1"/>
  <c r="D502" i="17" s="1"/>
  <c r="M456" i="17"/>
  <c r="M457" i="17" s="1"/>
  <c r="M458" i="17" s="1"/>
  <c r="T588" i="17"/>
  <c r="T589" i="17" s="1"/>
  <c r="T590" i="17" s="1"/>
  <c r="E544" i="17"/>
  <c r="E545" i="17" s="1"/>
  <c r="E546" i="17" s="1"/>
  <c r="R500" i="17"/>
  <c r="R501" i="17" s="1"/>
  <c r="R502" i="17" s="1"/>
  <c r="U456" i="17"/>
  <c r="U457" i="17" s="1"/>
  <c r="U458" i="17" s="1"/>
  <c r="E456" i="17"/>
  <c r="E457" i="17" s="1"/>
  <c r="E458" i="17" s="1"/>
  <c r="F456" i="17"/>
  <c r="F457" i="17" s="1"/>
  <c r="F458" i="17" s="1"/>
  <c r="D456" i="17"/>
  <c r="D457" i="17" s="1"/>
  <c r="D458" i="17" s="1"/>
  <c r="J544" i="17"/>
  <c r="J545" i="17" s="1"/>
  <c r="J546" i="17" s="1"/>
  <c r="Q500" i="17"/>
  <c r="Q501" i="17" s="1"/>
  <c r="Q502" i="17" s="1"/>
  <c r="G456" i="17"/>
  <c r="G457" i="17" s="1"/>
  <c r="G458" i="17" s="1"/>
  <c r="I544" i="17"/>
  <c r="I545" i="17" s="1"/>
  <c r="I546" i="17" s="1"/>
  <c r="L456" i="17"/>
  <c r="L457" i="17" s="1"/>
  <c r="L458" i="17" s="1"/>
  <c r="E20" i="11"/>
  <c r="D20" i="11"/>
  <c r="W456" i="17"/>
  <c r="W457" i="17" s="1"/>
  <c r="W458" i="17" s="1"/>
  <c r="V456" i="17"/>
  <c r="V457" i="17" s="1"/>
  <c r="V458" i="17" s="1"/>
  <c r="T456" i="17"/>
  <c r="T457" i="17" s="1"/>
  <c r="T458" i="17" s="1"/>
  <c r="F20" i="11"/>
  <c r="C115" i="17"/>
  <c r="D107" i="17" s="1"/>
  <c r="O60" i="20"/>
  <c r="N60" i="20"/>
  <c r="F60" i="20"/>
  <c r="I60" i="20"/>
  <c r="K60" i="20"/>
  <c r="E60" i="20"/>
  <c r="M60" i="20"/>
  <c r="J60" i="20"/>
  <c r="L60" i="20"/>
  <c r="D60" i="20"/>
  <c r="C7" i="17"/>
  <c r="C8" i="17" s="1"/>
  <c r="L500" i="17"/>
  <c r="L501" i="17" s="1"/>
  <c r="L502" i="17" s="1"/>
  <c r="T503" i="17"/>
  <c r="U503" i="17"/>
  <c r="S456" i="17"/>
  <c r="S457" i="17" s="1"/>
  <c r="S458" i="17" s="1"/>
  <c r="C403" i="17"/>
  <c r="C404" i="17" s="1"/>
  <c r="E13" i="30"/>
  <c r="H63" i="20"/>
  <c r="O63" i="20"/>
  <c r="G63" i="20"/>
  <c r="J63" i="20"/>
  <c r="I63" i="20"/>
  <c r="N63" i="20"/>
  <c r="E63" i="20"/>
  <c r="D63" i="20"/>
  <c r="K63" i="20"/>
  <c r="F63" i="20"/>
  <c r="C10" i="19"/>
  <c r="C6" i="23" s="1"/>
  <c r="C16" i="23" s="1"/>
  <c r="G10" i="19"/>
  <c r="G6" i="23" s="1"/>
  <c r="G16" i="23" s="1"/>
  <c r="E10" i="19"/>
  <c r="E6" i="23" s="1"/>
  <c r="E16" i="23" s="1"/>
  <c r="D10" i="19"/>
  <c r="D6" i="23" s="1"/>
  <c r="D16" i="23" s="1"/>
  <c r="C579" i="17"/>
  <c r="C580" i="17" s="1"/>
  <c r="C535" i="17"/>
  <c r="C536" i="17" s="1"/>
  <c r="C491" i="17"/>
  <c r="C492" i="17" s="1"/>
  <c r="C11" i="21"/>
  <c r="C9" i="21"/>
  <c r="C7" i="21"/>
  <c r="C12" i="21"/>
  <c r="C13" i="21"/>
  <c r="K59" i="20"/>
  <c r="J59" i="20"/>
  <c r="C6" i="21"/>
  <c r="M59" i="20"/>
  <c r="L59" i="20"/>
  <c r="C40" i="20"/>
  <c r="P635" i="17"/>
  <c r="H635" i="17"/>
  <c r="O59" i="20"/>
  <c r="D59" i="20"/>
  <c r="R635" i="17"/>
  <c r="I635" i="17"/>
  <c r="C10" i="21"/>
  <c r="N59" i="20"/>
  <c r="H59" i="20"/>
  <c r="T635" i="17"/>
  <c r="K635" i="17"/>
  <c r="C8" i="21"/>
  <c r="G59" i="20"/>
  <c r="S635" i="17"/>
  <c r="J635" i="17"/>
  <c r="Q591" i="17"/>
  <c r="I591" i="17"/>
  <c r="V635" i="17"/>
  <c r="F635" i="17"/>
  <c r="V591" i="17"/>
  <c r="M591" i="17"/>
  <c r="D591" i="17"/>
  <c r="T547" i="17"/>
  <c r="L547" i="17"/>
  <c r="D547" i="17"/>
  <c r="U635" i="17"/>
  <c r="E635" i="17"/>
  <c r="U591" i="17"/>
  <c r="L591" i="17"/>
  <c r="S547" i="17"/>
  <c r="K547" i="17"/>
  <c r="Q635" i="17"/>
  <c r="D635" i="17"/>
  <c r="T591" i="17"/>
  <c r="K591" i="17"/>
  <c r="R547" i="17"/>
  <c r="J547" i="17"/>
  <c r="C14" i="21"/>
  <c r="M635" i="17"/>
  <c r="H591" i="17"/>
  <c r="Q547" i="17"/>
  <c r="F547" i="17"/>
  <c r="S503" i="17"/>
  <c r="K503" i="17"/>
  <c r="I59" i="20"/>
  <c r="L635" i="17"/>
  <c r="W591" i="17"/>
  <c r="G591" i="17"/>
  <c r="P547" i="17"/>
  <c r="E547" i="17"/>
  <c r="R503" i="17"/>
  <c r="J503" i="17"/>
  <c r="G635" i="17"/>
  <c r="S591" i="17"/>
  <c r="F591" i="17"/>
  <c r="O547" i="17"/>
  <c r="Q503" i="17"/>
  <c r="I503" i="17"/>
  <c r="O635" i="17"/>
  <c r="N591" i="17"/>
  <c r="V547" i="17"/>
  <c r="H547" i="17"/>
  <c r="P591" i="17"/>
  <c r="N547" i="17"/>
  <c r="O503" i="17"/>
  <c r="D503" i="17"/>
  <c r="W459" i="17"/>
  <c r="O459" i="17"/>
  <c r="G459" i="17"/>
  <c r="O591" i="17"/>
  <c r="M547" i="17"/>
  <c r="N503" i="17"/>
  <c r="V459" i="17"/>
  <c r="N459" i="17"/>
  <c r="F459" i="17"/>
  <c r="J591" i="17"/>
  <c r="I547" i="17"/>
  <c r="M503" i="17"/>
  <c r="U459" i="17"/>
  <c r="M459" i="17"/>
  <c r="E459" i="17"/>
  <c r="W635" i="17"/>
  <c r="E591" i="17"/>
  <c r="G547" i="17"/>
  <c r="W503" i="17"/>
  <c r="L503" i="17"/>
  <c r="T459" i="17"/>
  <c r="L459" i="17"/>
  <c r="D459" i="17"/>
  <c r="F503" i="17"/>
  <c r="S459" i="17"/>
  <c r="E503" i="17"/>
  <c r="R459" i="17"/>
  <c r="N635" i="17"/>
  <c r="W547" i="17"/>
  <c r="V503" i="17"/>
  <c r="Q459" i="17"/>
  <c r="R591" i="17"/>
  <c r="H503" i="17"/>
  <c r="I459" i="17"/>
  <c r="J459" i="17"/>
  <c r="H459" i="17"/>
  <c r="G503" i="17"/>
  <c r="K459" i="17"/>
  <c r="O64" i="20"/>
  <c r="C6" i="14"/>
  <c r="C16" i="14"/>
  <c r="G24" i="11"/>
  <c r="C21" i="16" s="1"/>
  <c r="C359" i="17"/>
  <c r="C360" i="17" s="1"/>
  <c r="J62" i="20"/>
  <c r="K62" i="20"/>
  <c r="P459" i="17"/>
  <c r="P503" i="17"/>
  <c r="O588" i="17"/>
  <c r="O589" i="17" s="1"/>
  <c r="O590" i="17" s="1"/>
  <c r="P544" i="17"/>
  <c r="P545" i="17" s="1"/>
  <c r="P546" i="17" s="1"/>
  <c r="H544" i="17"/>
  <c r="H545" i="17" s="1"/>
  <c r="H546" i="17" s="1"/>
  <c r="W544" i="17"/>
  <c r="W545" i="17" s="1"/>
  <c r="W546" i="17" s="1"/>
  <c r="O544" i="17"/>
  <c r="O545" i="17" s="1"/>
  <c r="O546" i="17" s="1"/>
  <c r="G544" i="17"/>
  <c r="G545" i="17" s="1"/>
  <c r="G546" i="17" s="1"/>
  <c r="V544" i="17"/>
  <c r="V545" i="17" s="1"/>
  <c r="V546" i="17" s="1"/>
  <c r="N544" i="17"/>
  <c r="N545" i="17" s="1"/>
  <c r="N546" i="17" s="1"/>
  <c r="F544" i="17"/>
  <c r="F545" i="17" s="1"/>
  <c r="F546" i="17" s="1"/>
  <c r="M544" i="17"/>
  <c r="M545" i="17" s="1"/>
  <c r="M546" i="17" s="1"/>
  <c r="L544" i="17"/>
  <c r="L545" i="17" s="1"/>
  <c r="L546" i="17" s="1"/>
  <c r="K544" i="17"/>
  <c r="K545" i="17" s="1"/>
  <c r="K546" i="17" s="1"/>
  <c r="R544" i="17"/>
  <c r="R545" i="17" s="1"/>
  <c r="R546" i="17" s="1"/>
  <c r="D544" i="17"/>
  <c r="D545" i="17" s="1"/>
  <c r="D546" i="17" s="1"/>
  <c r="U544" i="17"/>
  <c r="U545" i="17" s="1"/>
  <c r="U546" i="17" s="1"/>
  <c r="T544" i="17"/>
  <c r="T545" i="17" s="1"/>
  <c r="T546" i="17" s="1"/>
  <c r="S544" i="17"/>
  <c r="S545" i="17" s="1"/>
  <c r="S546" i="17" s="1"/>
  <c r="Q544" i="17"/>
  <c r="Q545" i="17" s="1"/>
  <c r="Q546" i="17" s="1"/>
  <c r="C447" i="17"/>
  <c r="C448" i="17" s="1"/>
  <c r="W500" i="17"/>
  <c r="W501" i="17" s="1"/>
  <c r="W502" i="17" s="1"/>
  <c r="O500" i="17"/>
  <c r="O501" i="17" s="1"/>
  <c r="O502" i="17" s="1"/>
  <c r="G500" i="17"/>
  <c r="G501" i="17" s="1"/>
  <c r="G502" i="17" s="1"/>
  <c r="V500" i="17"/>
  <c r="V501" i="17" s="1"/>
  <c r="V502" i="17" s="1"/>
  <c r="N500" i="17"/>
  <c r="N501" i="17" s="1"/>
  <c r="N502" i="17" s="1"/>
  <c r="F500" i="17"/>
  <c r="F501" i="17" s="1"/>
  <c r="F502" i="17" s="1"/>
  <c r="U500" i="17"/>
  <c r="U501" i="17" s="1"/>
  <c r="U502" i="17" s="1"/>
  <c r="M500" i="17"/>
  <c r="M501" i="17" s="1"/>
  <c r="M502" i="17" s="1"/>
  <c r="E500" i="17"/>
  <c r="E501" i="17" s="1"/>
  <c r="E502" i="17" s="1"/>
  <c r="K500" i="17"/>
  <c r="K501" i="17" s="1"/>
  <c r="K502" i="17" s="1"/>
  <c r="J500" i="17"/>
  <c r="J501" i="17" s="1"/>
  <c r="J502" i="17" s="1"/>
  <c r="T500" i="17"/>
  <c r="T501" i="17" s="1"/>
  <c r="T502" i="17" s="1"/>
  <c r="I500" i="17"/>
  <c r="I501" i="17" s="1"/>
  <c r="I502" i="17" s="1"/>
  <c r="S500" i="17"/>
  <c r="S501" i="17" s="1"/>
  <c r="S502" i="17" s="1"/>
  <c r="H500" i="17"/>
  <c r="H501" i="17" s="1"/>
  <c r="H502" i="17" s="1"/>
  <c r="P500" i="17"/>
  <c r="P501" i="17" s="1"/>
  <c r="P502" i="17" s="1"/>
  <c r="I456" i="17"/>
  <c r="I457" i="17" s="1"/>
  <c r="I458" i="17" s="1"/>
  <c r="Q456" i="17"/>
  <c r="Q457" i="17" s="1"/>
  <c r="Q458" i="17" s="1"/>
  <c r="J456" i="17"/>
  <c r="J457" i="17" s="1"/>
  <c r="J458" i="17" s="1"/>
  <c r="R456" i="17"/>
  <c r="R457" i="17" s="1"/>
  <c r="R458" i="17" s="1"/>
  <c r="K456" i="17"/>
  <c r="K457" i="17" s="1"/>
  <c r="K458" i="17" s="1"/>
  <c r="U588" i="17"/>
  <c r="U589" i="17" s="1"/>
  <c r="U590" i="17" s="1"/>
  <c r="M588" i="17"/>
  <c r="M589" i="17" s="1"/>
  <c r="M590" i="17" s="1"/>
  <c r="E588" i="17"/>
  <c r="E589" i="17" s="1"/>
  <c r="E590" i="17" s="1"/>
  <c r="R588" i="17"/>
  <c r="R589" i="17" s="1"/>
  <c r="R590" i="17" s="1"/>
  <c r="I588" i="17"/>
  <c r="I589" i="17" s="1"/>
  <c r="I590" i="17" s="1"/>
  <c r="Q588" i="17"/>
  <c r="Q589" i="17" s="1"/>
  <c r="Q590" i="17" s="1"/>
  <c r="H588" i="17"/>
  <c r="H589" i="17" s="1"/>
  <c r="H590" i="17" s="1"/>
  <c r="P588" i="17"/>
  <c r="P589" i="17" s="1"/>
  <c r="P590" i="17" s="1"/>
  <c r="G588" i="17"/>
  <c r="G589" i="17" s="1"/>
  <c r="G590" i="17" s="1"/>
  <c r="K588" i="17"/>
  <c r="K589" i="17" s="1"/>
  <c r="K590" i="17" s="1"/>
  <c r="W588" i="17"/>
  <c r="W589" i="17" s="1"/>
  <c r="W590" i="17" s="1"/>
  <c r="J588" i="17"/>
  <c r="J589" i="17" s="1"/>
  <c r="J590" i="17" s="1"/>
  <c r="V588" i="17"/>
  <c r="V589" i="17" s="1"/>
  <c r="V590" i="17" s="1"/>
  <c r="F588" i="17"/>
  <c r="F589" i="17" s="1"/>
  <c r="F590" i="17" s="1"/>
  <c r="N588" i="17"/>
  <c r="N589" i="17" s="1"/>
  <c r="N590" i="17" s="1"/>
  <c r="S588" i="17"/>
  <c r="S589" i="17" s="1"/>
  <c r="S590" i="17" s="1"/>
  <c r="C623" i="17"/>
  <c r="C624" i="17" s="1"/>
  <c r="T632" i="17"/>
  <c r="T633" i="17" s="1"/>
  <c r="T634" i="17" s="1"/>
  <c r="L632" i="17"/>
  <c r="L633" i="17" s="1"/>
  <c r="L634" i="17" s="1"/>
  <c r="D632" i="17"/>
  <c r="D633" i="17" s="1"/>
  <c r="D634" i="17" s="1"/>
  <c r="W632" i="17"/>
  <c r="W633" i="17" s="1"/>
  <c r="W634" i="17" s="1"/>
  <c r="N632" i="17"/>
  <c r="N633" i="17" s="1"/>
  <c r="N634" i="17" s="1"/>
  <c r="E632" i="17"/>
  <c r="E633" i="17" s="1"/>
  <c r="E634" i="17" s="1"/>
  <c r="O632" i="17"/>
  <c r="O633" i="17" s="1"/>
  <c r="O634" i="17" s="1"/>
  <c r="F632" i="17"/>
  <c r="F633" i="17" s="1"/>
  <c r="F634" i="17" s="1"/>
  <c r="R632" i="17"/>
  <c r="R633" i="17" s="1"/>
  <c r="R634" i="17" s="1"/>
  <c r="G632" i="17"/>
  <c r="G633" i="17" s="1"/>
  <c r="G634" i="17" s="1"/>
  <c r="Q632" i="17"/>
  <c r="Q633" i="17" s="1"/>
  <c r="Q634" i="17" s="1"/>
  <c r="P632" i="17"/>
  <c r="P633" i="17" s="1"/>
  <c r="P634" i="17" s="1"/>
  <c r="K632" i="17"/>
  <c r="K633" i="17" s="1"/>
  <c r="K634" i="17" s="1"/>
  <c r="F10" i="19"/>
  <c r="F6" i="23" s="1"/>
  <c r="F16" i="23" s="1"/>
  <c r="E17" i="30"/>
  <c r="E14" i="30"/>
  <c r="D19" i="31"/>
  <c r="C19" i="31"/>
  <c r="D20" i="31"/>
  <c r="C32" i="31"/>
  <c r="C20" i="31"/>
  <c r="D32" i="31"/>
  <c r="C24" i="31"/>
  <c r="D24" i="31"/>
  <c r="B20" i="33"/>
  <c r="D15" i="29"/>
  <c r="C20" i="33" s="1"/>
  <c r="E15" i="30"/>
  <c r="F33" i="31"/>
  <c r="H33" i="31" s="1"/>
  <c r="E16" i="30"/>
  <c r="F6" i="29"/>
  <c r="D18" i="31"/>
  <c r="E18" i="31" s="1"/>
  <c r="D35" i="31"/>
  <c r="G35" i="31" s="1"/>
  <c r="C34" i="31"/>
  <c r="E34" i="31" s="1"/>
  <c r="C10" i="16" l="1"/>
  <c r="C11" i="14"/>
  <c r="C24" i="16"/>
  <c r="B16" i="33"/>
  <c r="D13" i="9"/>
  <c r="C16" i="33" s="1"/>
  <c r="G7" i="29"/>
  <c r="E107" i="17"/>
  <c r="K107" i="17"/>
  <c r="I107" i="17"/>
  <c r="C17" i="33"/>
  <c r="B17" i="33"/>
  <c r="H107" i="17"/>
  <c r="L107" i="17"/>
  <c r="C11" i="13"/>
  <c r="B25" i="33" s="1"/>
  <c r="C25" i="33" s="1"/>
  <c r="E36" i="33"/>
  <c r="C9" i="16"/>
  <c r="U107" i="17"/>
  <c r="F50" i="11"/>
  <c r="D19" i="19"/>
  <c r="D13" i="23" s="1"/>
  <c r="C19" i="19"/>
  <c r="B24" i="33"/>
  <c r="C24" i="33" s="1"/>
  <c r="R107" i="17"/>
  <c r="N107" i="17"/>
  <c r="G107" i="17"/>
  <c r="S107" i="17"/>
  <c r="F53" i="11"/>
  <c r="C6" i="16"/>
  <c r="O67" i="20" s="1"/>
  <c r="T107" i="17"/>
  <c r="G8" i="29"/>
  <c r="J107" i="17"/>
  <c r="F54" i="11"/>
  <c r="E19" i="19"/>
  <c r="E18" i="36" s="1"/>
  <c r="F19" i="19"/>
  <c r="F13" i="23" s="1"/>
  <c r="G33" i="31"/>
  <c r="I33" i="31" s="1"/>
  <c r="E17" i="31"/>
  <c r="G26" i="31"/>
  <c r="I26" i="31" s="1"/>
  <c r="G27" i="31"/>
  <c r="I27" i="31" s="1"/>
  <c r="G32" i="31"/>
  <c r="G24" i="31"/>
  <c r="I24" i="31" s="1"/>
  <c r="J24" i="31" s="1"/>
  <c r="E20" i="31"/>
  <c r="G28" i="31"/>
  <c r="I28" i="31" s="1"/>
  <c r="G19" i="31"/>
  <c r="G19" i="19"/>
  <c r="G13" i="23" s="1"/>
  <c r="E24" i="31"/>
  <c r="E32" i="31"/>
  <c r="G16" i="31"/>
  <c r="E27" i="31"/>
  <c r="G20" i="31"/>
  <c r="G36" i="31"/>
  <c r="E35" i="31"/>
  <c r="G25" i="31"/>
  <c r="I25" i="31" s="1"/>
  <c r="G9" i="29"/>
  <c r="D16" i="30"/>
  <c r="W107" i="17"/>
  <c r="M107" i="17"/>
  <c r="E15" i="24"/>
  <c r="H36" i="16"/>
  <c r="H53" i="16" s="1"/>
  <c r="C94" i="17"/>
  <c r="V107" i="17"/>
  <c r="F107" i="17"/>
  <c r="Q107" i="17"/>
  <c r="O107" i="17"/>
  <c r="P107" i="17"/>
  <c r="T592" i="17"/>
  <c r="U592" i="17"/>
  <c r="M592" i="17"/>
  <c r="E592" i="17"/>
  <c r="V592" i="17"/>
  <c r="K592" i="17"/>
  <c r="S592" i="17"/>
  <c r="J592" i="17"/>
  <c r="R592" i="17"/>
  <c r="I592" i="17"/>
  <c r="Q592" i="17"/>
  <c r="D592" i="17"/>
  <c r="P592" i="17"/>
  <c r="O592" i="17"/>
  <c r="G592" i="17"/>
  <c r="W592" i="17"/>
  <c r="N592" i="17"/>
  <c r="H592" i="17"/>
  <c r="F592" i="17"/>
  <c r="L592" i="17"/>
  <c r="P548" i="17"/>
  <c r="H548" i="17"/>
  <c r="W548" i="17"/>
  <c r="O548" i="17"/>
  <c r="G548" i="17"/>
  <c r="V548" i="17"/>
  <c r="N548" i="17"/>
  <c r="F548" i="17"/>
  <c r="K548" i="17"/>
  <c r="U548" i="17"/>
  <c r="J548" i="17"/>
  <c r="T548" i="17"/>
  <c r="I548" i="17"/>
  <c r="M548" i="17"/>
  <c r="S548" i="17"/>
  <c r="R548" i="17"/>
  <c r="Q548" i="17"/>
  <c r="L548" i="17"/>
  <c r="E548" i="17"/>
  <c r="D548" i="17"/>
  <c r="E6" i="30"/>
  <c r="G6" i="29"/>
  <c r="I17" i="31"/>
  <c r="D13" i="30"/>
  <c r="C138" i="17"/>
  <c r="D151" i="17" s="1"/>
  <c r="S460" i="17"/>
  <c r="K460" i="17"/>
  <c r="R460" i="17"/>
  <c r="J460" i="17"/>
  <c r="Q460" i="17"/>
  <c r="I460" i="17"/>
  <c r="P460" i="17"/>
  <c r="H460" i="17"/>
  <c r="O460" i="17"/>
  <c r="N460" i="17"/>
  <c r="M460" i="17"/>
  <c r="U460" i="17"/>
  <c r="E460" i="17"/>
  <c r="V460" i="17"/>
  <c r="T460" i="17"/>
  <c r="L460" i="17"/>
  <c r="W460" i="17"/>
  <c r="G460" i="17"/>
  <c r="F460" i="17"/>
  <c r="D460" i="17"/>
  <c r="G18" i="31"/>
  <c r="I18" i="31" s="1"/>
  <c r="D15" i="30"/>
  <c r="C18" i="33"/>
  <c r="B18" i="33"/>
  <c r="D17" i="36"/>
  <c r="G7" i="21"/>
  <c r="D9" i="23"/>
  <c r="C6" i="28"/>
  <c r="D7" i="26"/>
  <c r="D16" i="19"/>
  <c r="D8" i="23" s="1"/>
  <c r="D17" i="23" s="1"/>
  <c r="D18" i="23" s="1"/>
  <c r="D49" i="19" s="1"/>
  <c r="F7" i="21"/>
  <c r="G34" i="31"/>
  <c r="H54" i="11"/>
  <c r="F36" i="31" s="1"/>
  <c r="H36" i="31" s="1"/>
  <c r="H50" i="11"/>
  <c r="H53" i="11"/>
  <c r="F35" i="31" s="1"/>
  <c r="H35" i="31" s="1"/>
  <c r="I35" i="31" s="1"/>
  <c r="H52" i="11"/>
  <c r="G5" i="29"/>
  <c r="E19" i="31"/>
  <c r="F53" i="16"/>
  <c r="D53" i="16"/>
  <c r="X53" i="16" s="1"/>
  <c r="E53" i="16"/>
  <c r="G53" i="16"/>
  <c r="W504" i="17"/>
  <c r="O504" i="17"/>
  <c r="G504" i="17"/>
  <c r="V504" i="17"/>
  <c r="N504" i="17"/>
  <c r="F504" i="17"/>
  <c r="U504" i="17"/>
  <c r="M504" i="17"/>
  <c r="E504" i="17"/>
  <c r="T504" i="17"/>
  <c r="I504" i="17"/>
  <c r="S504" i="17"/>
  <c r="H504" i="17"/>
  <c r="R504" i="17"/>
  <c r="D504" i="17"/>
  <c r="Q504" i="17"/>
  <c r="K504" i="17"/>
  <c r="J504" i="17"/>
  <c r="P504" i="17"/>
  <c r="L504" i="17"/>
  <c r="T636" i="17"/>
  <c r="L636" i="17"/>
  <c r="D636" i="17"/>
  <c r="P636" i="17"/>
  <c r="G636" i="17"/>
  <c r="R636" i="17"/>
  <c r="I636" i="17"/>
  <c r="Q636" i="17"/>
  <c r="H636" i="17"/>
  <c r="O636" i="17"/>
  <c r="N636" i="17"/>
  <c r="M636" i="17"/>
  <c r="S636" i="17"/>
  <c r="K636" i="17"/>
  <c r="J636" i="17"/>
  <c r="V636" i="17"/>
  <c r="U636" i="17"/>
  <c r="F636" i="17"/>
  <c r="E636" i="17"/>
  <c r="W636" i="17"/>
  <c r="C8" i="36"/>
  <c r="N68" i="20"/>
  <c r="F68" i="20"/>
  <c r="M68" i="20"/>
  <c r="E68" i="20"/>
  <c r="C6" i="20"/>
  <c r="H68" i="20"/>
  <c r="J68" i="20"/>
  <c r="L68" i="20"/>
  <c r="D68" i="20"/>
  <c r="O68" i="20"/>
  <c r="I68" i="20"/>
  <c r="G68" i="20"/>
  <c r="K68" i="20"/>
  <c r="F34" i="31" l="1"/>
  <c r="H34" i="31" s="1"/>
  <c r="E9" i="19"/>
  <c r="C203" i="17"/>
  <c r="D195" i="17" s="1"/>
  <c r="C247" i="17"/>
  <c r="F20" i="31"/>
  <c r="H20" i="31" s="1"/>
  <c r="I20" i="31" s="1"/>
  <c r="J20" i="31" s="1"/>
  <c r="G9" i="19"/>
  <c r="C379" i="17"/>
  <c r="C423" i="17"/>
  <c r="F19" i="31"/>
  <c r="H19" i="31" s="1"/>
  <c r="I19" i="31" s="1"/>
  <c r="C291" i="17"/>
  <c r="C335" i="17"/>
  <c r="F9" i="19"/>
  <c r="F16" i="31"/>
  <c r="H16" i="31" s="1"/>
  <c r="I16" i="31" s="1"/>
  <c r="C6" i="31" s="1"/>
  <c r="C71" i="17"/>
  <c r="C9" i="19"/>
  <c r="C27" i="17"/>
  <c r="C12" i="33"/>
  <c r="F18" i="36"/>
  <c r="B12" i="24"/>
  <c r="D25" i="36"/>
  <c r="B12" i="33"/>
  <c r="C9" i="36"/>
  <c r="C6" i="36"/>
  <c r="C98" i="17"/>
  <c r="C186" i="17"/>
  <c r="C230" i="17"/>
  <c r="D23" i="11"/>
  <c r="D24" i="36"/>
  <c r="D26" i="36" s="1"/>
  <c r="D18" i="36"/>
  <c r="C18" i="16"/>
  <c r="C14" i="17"/>
  <c r="E24" i="36"/>
  <c r="C450" i="17"/>
  <c r="O461" i="17" s="1"/>
  <c r="C366" i="17"/>
  <c r="C454" i="17"/>
  <c r="E462" i="17" s="1"/>
  <c r="H67" i="20"/>
  <c r="C24" i="36"/>
  <c r="C25" i="36"/>
  <c r="F25" i="36"/>
  <c r="E25" i="36"/>
  <c r="E13" i="23"/>
  <c r="C410" i="17"/>
  <c r="C19" i="16"/>
  <c r="C20" i="19"/>
  <c r="C24" i="19" s="1"/>
  <c r="L67" i="20"/>
  <c r="L69" i="20" s="1"/>
  <c r="C13" i="23"/>
  <c r="C18" i="36"/>
  <c r="F67" i="20"/>
  <c r="F69" i="20" s="1"/>
  <c r="C11" i="16"/>
  <c r="C278" i="17"/>
  <c r="F20" i="19"/>
  <c r="F12" i="23" s="1"/>
  <c r="N67" i="20"/>
  <c r="N69" i="20" s="1"/>
  <c r="E67" i="20"/>
  <c r="E69" i="20" s="1"/>
  <c r="G18" i="36"/>
  <c r="C146" i="17"/>
  <c r="C630" i="17"/>
  <c r="M638" i="17" s="1"/>
  <c r="C234" i="17"/>
  <c r="E20" i="19"/>
  <c r="E12" i="23" s="1"/>
  <c r="D18" i="19"/>
  <c r="D20" i="36" s="1"/>
  <c r="D22" i="36" s="1"/>
  <c r="G24" i="36"/>
  <c r="O151" i="17"/>
  <c r="C22" i="33"/>
  <c r="B22" i="33"/>
  <c r="E151" i="17"/>
  <c r="C58" i="17"/>
  <c r="C498" i="17"/>
  <c r="C542" i="17"/>
  <c r="N550" i="17" s="1"/>
  <c r="G25" i="36"/>
  <c r="C318" i="17"/>
  <c r="C12" i="16"/>
  <c r="B6" i="24"/>
  <c r="C406" i="17"/>
  <c r="C20" i="14"/>
  <c r="C21" i="14" s="1"/>
  <c r="C54" i="17"/>
  <c r="C538" i="17"/>
  <c r="L549" i="17" s="1"/>
  <c r="C626" i="17"/>
  <c r="W637" i="17" s="1"/>
  <c r="C362" i="17"/>
  <c r="C274" i="17"/>
  <c r="C142" i="17"/>
  <c r="C10" i="17"/>
  <c r="C494" i="17"/>
  <c r="M505" i="17" s="1"/>
  <c r="C102" i="17"/>
  <c r="C586" i="17"/>
  <c r="L594" i="17" s="1"/>
  <c r="G20" i="19"/>
  <c r="G24" i="19" s="1"/>
  <c r="D67" i="20"/>
  <c r="D69" i="20" s="1"/>
  <c r="C582" i="17"/>
  <c r="K593" i="17" s="1"/>
  <c r="C190" i="17"/>
  <c r="G67" i="20"/>
  <c r="D20" i="19"/>
  <c r="D22" i="19" s="1"/>
  <c r="D14" i="23" s="1"/>
  <c r="I67" i="20"/>
  <c r="C16" i="16"/>
  <c r="C8" i="20" s="1"/>
  <c r="C322" i="17"/>
  <c r="K67" i="20"/>
  <c r="M67" i="20"/>
  <c r="J67" i="20"/>
  <c r="F24" i="36"/>
  <c r="I36" i="31"/>
  <c r="E10" i="31" s="1"/>
  <c r="D8" i="31"/>
  <c r="J26" i="31"/>
  <c r="D6" i="31"/>
  <c r="J35" i="31"/>
  <c r="E9" i="31"/>
  <c r="D466" i="17"/>
  <c r="U466" i="17"/>
  <c r="J466" i="17"/>
  <c r="V148" i="17"/>
  <c r="V149" i="17" s="1"/>
  <c r="V150" i="17" s="1"/>
  <c r="N148" i="17"/>
  <c r="N149" i="17" s="1"/>
  <c r="N150" i="17" s="1"/>
  <c r="F148" i="17"/>
  <c r="F149" i="17" s="1"/>
  <c r="F150" i="17" s="1"/>
  <c r="U148" i="17"/>
  <c r="U149" i="17" s="1"/>
  <c r="U150" i="17" s="1"/>
  <c r="M148" i="17"/>
  <c r="M149" i="17" s="1"/>
  <c r="M150" i="17" s="1"/>
  <c r="E148" i="17"/>
  <c r="E149" i="17" s="1"/>
  <c r="E150" i="17" s="1"/>
  <c r="T148" i="17"/>
  <c r="T149" i="17" s="1"/>
  <c r="T150" i="17" s="1"/>
  <c r="L148" i="17"/>
  <c r="L149" i="17" s="1"/>
  <c r="L150" i="17" s="1"/>
  <c r="D148" i="17"/>
  <c r="D149" i="17" s="1"/>
  <c r="D150" i="17" s="1"/>
  <c r="D152" i="17" s="1"/>
  <c r="W148" i="17"/>
  <c r="W149" i="17" s="1"/>
  <c r="W150" i="17" s="1"/>
  <c r="O148" i="17"/>
  <c r="O149" i="17" s="1"/>
  <c r="O150" i="17" s="1"/>
  <c r="G148" i="17"/>
  <c r="G149" i="17" s="1"/>
  <c r="G150" i="17" s="1"/>
  <c r="J148" i="17"/>
  <c r="J149" i="17" s="1"/>
  <c r="J150" i="17" s="1"/>
  <c r="I148" i="17"/>
  <c r="I149" i="17" s="1"/>
  <c r="I150" i="17" s="1"/>
  <c r="H148" i="17"/>
  <c r="H149" i="17" s="1"/>
  <c r="H150" i="17" s="1"/>
  <c r="S148" i="17"/>
  <c r="S149" i="17" s="1"/>
  <c r="S150" i="17" s="1"/>
  <c r="R148" i="17"/>
  <c r="R149" i="17" s="1"/>
  <c r="R150" i="17" s="1"/>
  <c r="P148" i="17"/>
  <c r="P149" i="17" s="1"/>
  <c r="P150" i="17" s="1"/>
  <c r="K148" i="17"/>
  <c r="K149" i="17" s="1"/>
  <c r="K150" i="17" s="1"/>
  <c r="Q148" i="17"/>
  <c r="Q149" i="17" s="1"/>
  <c r="Q150" i="17" s="1"/>
  <c r="L151" i="17"/>
  <c r="Q151" i="17"/>
  <c r="N151" i="17"/>
  <c r="S151" i="17"/>
  <c r="M151" i="17"/>
  <c r="J151" i="17"/>
  <c r="K151" i="17"/>
  <c r="P151" i="17"/>
  <c r="L554" i="17"/>
  <c r="U554" i="17"/>
  <c r="H554" i="17"/>
  <c r="O598" i="17"/>
  <c r="K598" i="17"/>
  <c r="W642" i="17"/>
  <c r="M642" i="17"/>
  <c r="P642" i="17"/>
  <c r="K510" i="17"/>
  <c r="E510" i="17"/>
  <c r="W510" i="17"/>
  <c r="F466" i="17"/>
  <c r="M466" i="17"/>
  <c r="R466" i="17"/>
  <c r="U151" i="17"/>
  <c r="D14" i="30"/>
  <c r="F6" i="30"/>
  <c r="Q554" i="17"/>
  <c r="K554" i="17"/>
  <c r="P554" i="17"/>
  <c r="P598" i="17"/>
  <c r="V598" i="17"/>
  <c r="E642" i="17"/>
  <c r="N642" i="17"/>
  <c r="Q510" i="17"/>
  <c r="M510" i="17"/>
  <c r="D10" i="31"/>
  <c r="J28" i="31"/>
  <c r="R554" i="17"/>
  <c r="F554" i="17"/>
  <c r="L598" i="17"/>
  <c r="D598" i="17"/>
  <c r="E598" i="17"/>
  <c r="H151" i="17"/>
  <c r="W466" i="17"/>
  <c r="O466" i="17"/>
  <c r="S466" i="17"/>
  <c r="T151" i="17"/>
  <c r="F5" i="30"/>
  <c r="S554" i="17"/>
  <c r="N554" i="17"/>
  <c r="F598" i="17"/>
  <c r="Q598" i="17"/>
  <c r="M598" i="17"/>
  <c r="P104" i="17"/>
  <c r="P105" i="17" s="1"/>
  <c r="P106" i="17" s="1"/>
  <c r="P108" i="17" s="1"/>
  <c r="H104" i="17"/>
  <c r="H105" i="17" s="1"/>
  <c r="H106" i="17" s="1"/>
  <c r="H108" i="17" s="1"/>
  <c r="W104" i="17"/>
  <c r="W105" i="17" s="1"/>
  <c r="W106" i="17" s="1"/>
  <c r="W108" i="17" s="1"/>
  <c r="O104" i="17"/>
  <c r="O105" i="17" s="1"/>
  <c r="O106" i="17" s="1"/>
  <c r="O108" i="17" s="1"/>
  <c r="G104" i="17"/>
  <c r="G105" i="17" s="1"/>
  <c r="G106" i="17" s="1"/>
  <c r="G108" i="17" s="1"/>
  <c r="V104" i="17"/>
  <c r="V105" i="17" s="1"/>
  <c r="V106" i="17" s="1"/>
  <c r="V108" i="17" s="1"/>
  <c r="N104" i="17"/>
  <c r="N105" i="17" s="1"/>
  <c r="N106" i="17" s="1"/>
  <c r="N108" i="17" s="1"/>
  <c r="F104" i="17"/>
  <c r="F105" i="17" s="1"/>
  <c r="Q104" i="17"/>
  <c r="Q105" i="17" s="1"/>
  <c r="Q106" i="17" s="1"/>
  <c r="Q108" i="17" s="1"/>
  <c r="I104" i="17"/>
  <c r="I105" i="17" s="1"/>
  <c r="I106" i="17" s="1"/>
  <c r="I108" i="17" s="1"/>
  <c r="U104" i="17"/>
  <c r="U105" i="17" s="1"/>
  <c r="U106" i="17" s="1"/>
  <c r="U108" i="17" s="1"/>
  <c r="E104" i="17"/>
  <c r="E105" i="17" s="1"/>
  <c r="T104" i="17"/>
  <c r="T105" i="17" s="1"/>
  <c r="T106" i="17" s="1"/>
  <c r="T108" i="17" s="1"/>
  <c r="D104" i="17"/>
  <c r="D105" i="17" s="1"/>
  <c r="D106" i="17" s="1"/>
  <c r="D108" i="17" s="1"/>
  <c r="S104" i="17"/>
  <c r="S105" i="17" s="1"/>
  <c r="S106" i="17" s="1"/>
  <c r="S108" i="17" s="1"/>
  <c r="R104" i="17"/>
  <c r="R105" i="17" s="1"/>
  <c r="R106" i="17" s="1"/>
  <c r="R108" i="17" s="1"/>
  <c r="M104" i="17"/>
  <c r="M105" i="17" s="1"/>
  <c r="M106" i="17" s="1"/>
  <c r="M108" i="17" s="1"/>
  <c r="K104" i="17"/>
  <c r="K105" i="17" s="1"/>
  <c r="K106" i="17" s="1"/>
  <c r="K108" i="17" s="1"/>
  <c r="J104" i="17"/>
  <c r="J105" i="17" s="1"/>
  <c r="J106" i="17" s="1"/>
  <c r="J108" i="17" s="1"/>
  <c r="L104" i="17"/>
  <c r="L105" i="17" s="1"/>
  <c r="L106" i="17" s="1"/>
  <c r="L108" i="17" s="1"/>
  <c r="F642" i="17"/>
  <c r="L642" i="17"/>
  <c r="I34" i="31"/>
  <c r="U642" i="17"/>
  <c r="H642" i="17"/>
  <c r="T642" i="17"/>
  <c r="R510" i="17"/>
  <c r="F510" i="17"/>
  <c r="L466" i="17"/>
  <c r="H466" i="17"/>
  <c r="F151" i="17"/>
  <c r="M554" i="17"/>
  <c r="V554" i="17"/>
  <c r="H598" i="17"/>
  <c r="I598" i="17"/>
  <c r="U598" i="17"/>
  <c r="G642" i="17"/>
  <c r="J510" i="17"/>
  <c r="T510" i="17"/>
  <c r="O510" i="17"/>
  <c r="F23" i="11"/>
  <c r="F32" i="31"/>
  <c r="H32" i="31" s="1"/>
  <c r="I32" i="31" s="1"/>
  <c r="D642" i="17"/>
  <c r="E6" i="28"/>
  <c r="F6" i="28"/>
  <c r="G466" i="17"/>
  <c r="N466" i="17"/>
  <c r="K466" i="17"/>
  <c r="J25" i="31"/>
  <c r="D7" i="31"/>
  <c r="O642" i="17"/>
  <c r="D510" i="17"/>
  <c r="U510" i="17"/>
  <c r="V642" i="17"/>
  <c r="Q642" i="17"/>
  <c r="H510" i="17"/>
  <c r="N510" i="17"/>
  <c r="R151" i="17"/>
  <c r="C8" i="31"/>
  <c r="J18" i="31"/>
  <c r="T466" i="17"/>
  <c r="P466" i="17"/>
  <c r="V151" i="17"/>
  <c r="I554" i="17"/>
  <c r="G554" i="17"/>
  <c r="N598" i="17"/>
  <c r="R598" i="17"/>
  <c r="T598" i="17"/>
  <c r="S642" i="17"/>
  <c r="I151" i="17"/>
  <c r="E7" i="31"/>
  <c r="J33" i="31"/>
  <c r="V466" i="17"/>
  <c r="I466" i="17"/>
  <c r="G151" i="17"/>
  <c r="C7" i="31"/>
  <c r="J17" i="31"/>
  <c r="D554" i="17"/>
  <c r="T554" i="17"/>
  <c r="O554" i="17"/>
  <c r="W598" i="17"/>
  <c r="J598" i="17"/>
  <c r="O69" i="20"/>
  <c r="D9" i="31"/>
  <c r="J27" i="31"/>
  <c r="F8" i="30"/>
  <c r="J642" i="17"/>
  <c r="I642" i="17"/>
  <c r="L510" i="17"/>
  <c r="S510" i="17"/>
  <c r="V510" i="17"/>
  <c r="K642" i="17"/>
  <c r="R642" i="17"/>
  <c r="P510" i="17"/>
  <c r="I510" i="17"/>
  <c r="G510" i="17"/>
  <c r="F7" i="30"/>
  <c r="E466" i="17"/>
  <c r="Q466" i="17"/>
  <c r="W151" i="17"/>
  <c r="E554" i="17"/>
  <c r="J554" i="17"/>
  <c r="W554" i="17"/>
  <c r="G598" i="17"/>
  <c r="S598" i="17"/>
  <c r="F15" i="24"/>
  <c r="I36" i="16"/>
  <c r="F9" i="30"/>
  <c r="N195" i="17" l="1"/>
  <c r="E195" i="17"/>
  <c r="R195" i="17"/>
  <c r="Q195" i="17"/>
  <c r="M195" i="17"/>
  <c r="F195" i="17"/>
  <c r="L195" i="17"/>
  <c r="I195" i="17"/>
  <c r="Q461" i="17"/>
  <c r="H195" i="17"/>
  <c r="P195" i="17"/>
  <c r="T549" i="17"/>
  <c r="U195" i="17"/>
  <c r="G195" i="17"/>
  <c r="T195" i="17"/>
  <c r="D19" i="36"/>
  <c r="D10" i="23"/>
  <c r="D19" i="23" s="1"/>
  <c r="F22" i="19"/>
  <c r="F14" i="23" s="1"/>
  <c r="F24" i="19"/>
  <c r="R505" i="17"/>
  <c r="V505" i="17"/>
  <c r="K152" i="17"/>
  <c r="K153" i="17" s="1"/>
  <c r="G593" i="17"/>
  <c r="P461" i="17"/>
  <c r="S637" i="17"/>
  <c r="I461" i="17"/>
  <c r="S505" i="17"/>
  <c r="C226" i="17"/>
  <c r="F239" i="17" s="1"/>
  <c r="L505" i="17"/>
  <c r="C182" i="17"/>
  <c r="V195" i="17"/>
  <c r="J195" i="17"/>
  <c r="W195" i="17"/>
  <c r="S195" i="17"/>
  <c r="K195" i="17"/>
  <c r="G505" i="17"/>
  <c r="G23" i="11"/>
  <c r="C5" i="20" s="1"/>
  <c r="O195" i="17"/>
  <c r="E17" i="19"/>
  <c r="E16" i="19"/>
  <c r="E8" i="23" s="1"/>
  <c r="E17" i="23" s="1"/>
  <c r="E18" i="23" s="1"/>
  <c r="E49" i="19" s="1"/>
  <c r="E7" i="26"/>
  <c r="F8" i="21"/>
  <c r="C7" i="28"/>
  <c r="C9" i="31"/>
  <c r="J19" i="31"/>
  <c r="C9" i="28"/>
  <c r="C16" i="19"/>
  <c r="C8" i="23" s="1"/>
  <c r="C17" i="23" s="1"/>
  <c r="C18" i="23" s="1"/>
  <c r="C49" i="19" s="1"/>
  <c r="F6" i="21"/>
  <c r="C7" i="26"/>
  <c r="C17" i="19"/>
  <c r="C50" i="17"/>
  <c r="H63" i="17" s="1"/>
  <c r="C402" i="17"/>
  <c r="M415" i="17" s="1"/>
  <c r="H371" i="17"/>
  <c r="Q371" i="17"/>
  <c r="K371" i="17"/>
  <c r="I371" i="17"/>
  <c r="T371" i="17"/>
  <c r="J371" i="17"/>
  <c r="V371" i="17"/>
  <c r="R371" i="17"/>
  <c r="D371" i="17"/>
  <c r="C358" i="17"/>
  <c r="O371" i="17"/>
  <c r="F371" i="17"/>
  <c r="M371" i="17"/>
  <c r="N371" i="17"/>
  <c r="S371" i="17"/>
  <c r="W371" i="17"/>
  <c r="G371" i="17"/>
  <c r="L371" i="17"/>
  <c r="E371" i="17"/>
  <c r="P371" i="17"/>
  <c r="U371" i="17"/>
  <c r="F16" i="19"/>
  <c r="F8" i="23" s="1"/>
  <c r="F17" i="23" s="1"/>
  <c r="F18" i="23" s="1"/>
  <c r="F49" i="19" s="1"/>
  <c r="F7" i="26"/>
  <c r="C5" i="28"/>
  <c r="F9" i="21"/>
  <c r="F17" i="19"/>
  <c r="G17" i="19"/>
  <c r="C8" i="28"/>
  <c r="G7" i="26"/>
  <c r="F10" i="21"/>
  <c r="G16" i="19"/>
  <c r="G8" i="23" s="1"/>
  <c r="G17" i="23" s="1"/>
  <c r="G18" i="23" s="1"/>
  <c r="G49" i="19" s="1"/>
  <c r="C314" i="17"/>
  <c r="V327" i="17" s="1"/>
  <c r="C270" i="17"/>
  <c r="H283" i="17"/>
  <c r="S283" i="17"/>
  <c r="R283" i="17"/>
  <c r="U283" i="17"/>
  <c r="V283" i="17"/>
  <c r="P283" i="17"/>
  <c r="K283" i="17"/>
  <c r="J283" i="17"/>
  <c r="Q283" i="17"/>
  <c r="M283" i="17"/>
  <c r="F283" i="17"/>
  <c r="I283" i="17"/>
  <c r="E283" i="17"/>
  <c r="G283" i="17"/>
  <c r="O283" i="17"/>
  <c r="W283" i="17"/>
  <c r="N283" i="17"/>
  <c r="T283" i="17"/>
  <c r="D283" i="17"/>
  <c r="L283" i="17"/>
  <c r="J16" i="31"/>
  <c r="H19" i="17"/>
  <c r="G19" i="17"/>
  <c r="R19" i="17"/>
  <c r="I19" i="17"/>
  <c r="O19" i="17"/>
  <c r="W19" i="17"/>
  <c r="D19" i="17"/>
  <c r="M19" i="17"/>
  <c r="V19" i="17"/>
  <c r="L19" i="17"/>
  <c r="E19" i="17"/>
  <c r="F19" i="17"/>
  <c r="T19" i="17"/>
  <c r="N19" i="17"/>
  <c r="U19" i="17"/>
  <c r="C6" i="17"/>
  <c r="P19" i="17"/>
  <c r="Q19" i="17"/>
  <c r="S19" i="17"/>
  <c r="K19" i="17"/>
  <c r="J19" i="17"/>
  <c r="E550" i="17"/>
  <c r="N505" i="17"/>
  <c r="S593" i="17"/>
  <c r="P505" i="17"/>
  <c r="Q594" i="17"/>
  <c r="V461" i="17"/>
  <c r="S152" i="17"/>
  <c r="S158" i="17" s="1"/>
  <c r="D24" i="19"/>
  <c r="J69" i="20"/>
  <c r="U505" i="17"/>
  <c r="F505" i="17"/>
  <c r="D549" i="17"/>
  <c r="I152" i="17"/>
  <c r="I158" i="17" s="1"/>
  <c r="L461" i="17"/>
  <c r="G461" i="17"/>
  <c r="I637" i="17"/>
  <c r="J637" i="17"/>
  <c r="R637" i="17"/>
  <c r="T461" i="17"/>
  <c r="I505" i="17"/>
  <c r="L550" i="17"/>
  <c r="L551" i="17" s="1"/>
  <c r="L552" i="17" s="1"/>
  <c r="L553" i="17" s="1"/>
  <c r="J593" i="17"/>
  <c r="W593" i="17"/>
  <c r="T593" i="17"/>
  <c r="R594" i="17"/>
  <c r="M110" i="17"/>
  <c r="E549" i="17"/>
  <c r="O549" i="17"/>
  <c r="W461" i="17"/>
  <c r="J549" i="17"/>
  <c r="E461" i="17"/>
  <c r="E463" i="17" s="1"/>
  <c r="E464" i="17" s="1"/>
  <c r="E465" i="17" s="1"/>
  <c r="K461" i="17"/>
  <c r="M549" i="17"/>
  <c r="J461" i="17"/>
  <c r="D637" i="17"/>
  <c r="V594" i="17"/>
  <c r="G594" i="17"/>
  <c r="U461" i="17"/>
  <c r="U637" i="17"/>
  <c r="D594" i="17"/>
  <c r="G549" i="17"/>
  <c r="Q637" i="17"/>
  <c r="W549" i="17"/>
  <c r="I549" i="17"/>
  <c r="T594" i="17"/>
  <c r="V637" i="17"/>
  <c r="D12" i="23"/>
  <c r="L637" i="17"/>
  <c r="K594" i="17"/>
  <c r="K595" i="17" s="1"/>
  <c r="K596" i="17" s="1"/>
  <c r="K597" i="17" s="1"/>
  <c r="H461" i="17"/>
  <c r="S461" i="17"/>
  <c r="R461" i="17"/>
  <c r="G12" i="23"/>
  <c r="K637" i="17"/>
  <c r="T505" i="17"/>
  <c r="E22" i="19"/>
  <c r="E14" i="23" s="1"/>
  <c r="D461" i="17"/>
  <c r="K69" i="20"/>
  <c r="P594" i="17"/>
  <c r="J594" i="17"/>
  <c r="H69" i="20"/>
  <c r="M69" i="20"/>
  <c r="D505" i="17"/>
  <c r="N461" i="17"/>
  <c r="V549" i="17"/>
  <c r="E24" i="19"/>
  <c r="M461" i="17"/>
  <c r="F461" i="17"/>
  <c r="N549" i="17"/>
  <c r="N551" i="17" s="1"/>
  <c r="N552" i="17" s="1"/>
  <c r="N553" i="17" s="1"/>
  <c r="O505" i="17"/>
  <c r="O637" i="17"/>
  <c r="T637" i="17"/>
  <c r="O462" i="17"/>
  <c r="O463" i="17" s="1"/>
  <c r="O464" i="17" s="1"/>
  <c r="O465" i="17" s="1"/>
  <c r="Q462" i="17"/>
  <c r="Q463" i="17" s="1"/>
  <c r="Q464" i="17" s="1"/>
  <c r="Q465" i="17" s="1"/>
  <c r="G22" i="19"/>
  <c r="G14" i="23" s="1"/>
  <c r="Q505" i="17"/>
  <c r="H505" i="17"/>
  <c r="J505" i="17"/>
  <c r="C22" i="19"/>
  <c r="C14" i="23" s="1"/>
  <c r="C12" i="23"/>
  <c r="D462" i="17"/>
  <c r="D23" i="36"/>
  <c r="V462" i="17"/>
  <c r="W462" i="17"/>
  <c r="U462" i="17"/>
  <c r="G462" i="17"/>
  <c r="L462" i="17"/>
  <c r="N462" i="17"/>
  <c r="H462" i="17"/>
  <c r="R462" i="17"/>
  <c r="J462" i="17"/>
  <c r="I462" i="17"/>
  <c r="T462" i="17"/>
  <c r="P462" i="17"/>
  <c r="F462" i="17"/>
  <c r="S462" i="17"/>
  <c r="K462" i="17"/>
  <c r="M462" i="17"/>
  <c r="T152" i="17"/>
  <c r="T158" i="17" s="1"/>
  <c r="H549" i="17"/>
  <c r="S154" i="17"/>
  <c r="P637" i="17"/>
  <c r="M637" i="17"/>
  <c r="M639" i="17" s="1"/>
  <c r="M640" i="17" s="1"/>
  <c r="M641" i="17" s="1"/>
  <c r="N637" i="17"/>
  <c r="G152" i="17"/>
  <c r="G158" i="17" s="1"/>
  <c r="W505" i="17"/>
  <c r="O152" i="17"/>
  <c r="O158" i="17" s="1"/>
  <c r="G69" i="20"/>
  <c r="E637" i="17"/>
  <c r="H638" i="17"/>
  <c r="G637" i="17"/>
  <c r="H637" i="17"/>
  <c r="F637" i="17"/>
  <c r="T638" i="17"/>
  <c r="E505" i="17"/>
  <c r="U638" i="17"/>
  <c r="N638" i="17"/>
  <c r="C13" i="16"/>
  <c r="U549" i="17"/>
  <c r="D110" i="17"/>
  <c r="T110" i="17"/>
  <c r="S549" i="17"/>
  <c r="O154" i="17"/>
  <c r="P549" i="17"/>
  <c r="V593" i="17"/>
  <c r="R152" i="17"/>
  <c r="R158" i="17" s="1"/>
  <c r="U593" i="17"/>
  <c r="K154" i="17"/>
  <c r="M593" i="17"/>
  <c r="D593" i="17"/>
  <c r="J36" i="31"/>
  <c r="F638" i="17"/>
  <c r="E638" i="17"/>
  <c r="S638" i="17"/>
  <c r="L638" i="17"/>
  <c r="Q638" i="17"/>
  <c r="D638" i="17"/>
  <c r="P638" i="17"/>
  <c r="K638" i="17"/>
  <c r="G638" i="17"/>
  <c r="O638" i="17"/>
  <c r="J638" i="17"/>
  <c r="W638" i="17"/>
  <c r="W639" i="17" s="1"/>
  <c r="W640" i="17" s="1"/>
  <c r="W641" i="17" s="1"/>
  <c r="V638" i="17"/>
  <c r="I638" i="17"/>
  <c r="V152" i="17"/>
  <c r="V153" i="17" s="1"/>
  <c r="I69" i="20"/>
  <c r="I593" i="17"/>
  <c r="K505" i="17"/>
  <c r="Q549" i="17"/>
  <c r="O593" i="17"/>
  <c r="E152" i="17"/>
  <c r="E158" i="17" s="1"/>
  <c r="R638" i="17"/>
  <c r="R593" i="17"/>
  <c r="W152" i="17"/>
  <c r="W153" i="17" s="1"/>
  <c r="N593" i="17"/>
  <c r="H593" i="17"/>
  <c r="Q593" i="17"/>
  <c r="F549" i="17"/>
  <c r="G154" i="17"/>
  <c r="G110" i="17"/>
  <c r="K549" i="17"/>
  <c r="D154" i="17"/>
  <c r="R549" i="17"/>
  <c r="C10" i="31"/>
  <c r="P593" i="17"/>
  <c r="R154" i="17"/>
  <c r="O110" i="17"/>
  <c r="H154" i="17"/>
  <c r="U110" i="17"/>
  <c r="H152" i="17"/>
  <c r="H158" i="17" s="1"/>
  <c r="P154" i="17"/>
  <c r="V154" i="17"/>
  <c r="P152" i="17"/>
  <c r="P153" i="17" s="1"/>
  <c r="T154" i="17"/>
  <c r="L110" i="17"/>
  <c r="F152" i="17"/>
  <c r="F158" i="17" s="1"/>
  <c r="F593" i="17"/>
  <c r="E593" i="17"/>
  <c r="Q110" i="17"/>
  <c r="I154" i="17"/>
  <c r="U154" i="17"/>
  <c r="L154" i="17"/>
  <c r="L152" i="17"/>
  <c r="L158" i="17" s="1"/>
  <c r="V550" i="17"/>
  <c r="P550" i="17"/>
  <c r="T550" i="17"/>
  <c r="H550" i="17"/>
  <c r="I550" i="17"/>
  <c r="W550" i="17"/>
  <c r="S550" i="17"/>
  <c r="O550" i="17"/>
  <c r="D550" i="17"/>
  <c r="G550" i="17"/>
  <c r="R550" i="17"/>
  <c r="F550" i="17"/>
  <c r="Q550" i="17"/>
  <c r="U550" i="17"/>
  <c r="M550" i="17"/>
  <c r="J550" i="17"/>
  <c r="K550" i="17"/>
  <c r="K110" i="17"/>
  <c r="L593" i="17"/>
  <c r="L595" i="17" s="1"/>
  <c r="L596" i="17" s="1"/>
  <c r="L597" i="17" s="1"/>
  <c r="M506" i="17"/>
  <c r="M507" i="17" s="1"/>
  <c r="M508" i="17" s="1"/>
  <c r="M509" i="17" s="1"/>
  <c r="T506" i="17"/>
  <c r="W506" i="17"/>
  <c r="E506" i="17"/>
  <c r="L506" i="17"/>
  <c r="O506" i="17"/>
  <c r="S506" i="17"/>
  <c r="K506" i="17"/>
  <c r="G506" i="17"/>
  <c r="H506" i="17"/>
  <c r="J506" i="17"/>
  <c r="V506" i="17"/>
  <c r="R506" i="17"/>
  <c r="I506" i="17"/>
  <c r="N506" i="17"/>
  <c r="D506" i="17"/>
  <c r="F506" i="17"/>
  <c r="Q506" i="17"/>
  <c r="U506" i="17"/>
  <c r="P506" i="17"/>
  <c r="Q154" i="17"/>
  <c r="J154" i="17"/>
  <c r="N594" i="17"/>
  <c r="M594" i="17"/>
  <c r="E594" i="17"/>
  <c r="W594" i="17"/>
  <c r="O594" i="17"/>
  <c r="I594" i="17"/>
  <c r="S594" i="17"/>
  <c r="U594" i="17"/>
  <c r="F594" i="17"/>
  <c r="H594" i="17"/>
  <c r="D23" i="19"/>
  <c r="D21" i="36" s="1"/>
  <c r="C513" i="17"/>
  <c r="J34" i="31"/>
  <c r="E8" i="31"/>
  <c r="L109" i="17"/>
  <c r="L114" i="17"/>
  <c r="E106" i="17"/>
  <c r="E108" i="17" s="1"/>
  <c r="E110" i="17"/>
  <c r="O114" i="17"/>
  <c r="O109" i="17"/>
  <c r="P110" i="17"/>
  <c r="N154" i="17"/>
  <c r="Q152" i="17"/>
  <c r="W110" i="17"/>
  <c r="J109" i="17"/>
  <c r="J114" i="17"/>
  <c r="U109" i="17"/>
  <c r="U114" i="17"/>
  <c r="W114" i="17"/>
  <c r="W109" i="17"/>
  <c r="C601" i="17"/>
  <c r="C557" i="17"/>
  <c r="J32" i="31"/>
  <c r="E6" i="31"/>
  <c r="V110" i="17"/>
  <c r="K109" i="17"/>
  <c r="K114" i="17"/>
  <c r="I114" i="17"/>
  <c r="I109" i="17"/>
  <c r="H114" i="17"/>
  <c r="H109" i="17"/>
  <c r="S110" i="17"/>
  <c r="H110" i="17"/>
  <c r="D158" i="17"/>
  <c r="D153" i="17"/>
  <c r="J110" i="17"/>
  <c r="M109" i="17"/>
  <c r="M114" i="17"/>
  <c r="Q114" i="17"/>
  <c r="Q109" i="17"/>
  <c r="P114" i="17"/>
  <c r="P109" i="17"/>
  <c r="I110" i="17"/>
  <c r="R109" i="17"/>
  <c r="R114" i="17"/>
  <c r="F106" i="17"/>
  <c r="F108" i="17" s="1"/>
  <c r="F110" i="17"/>
  <c r="N110" i="17"/>
  <c r="R110" i="17"/>
  <c r="J152" i="17"/>
  <c r="S109" i="17"/>
  <c r="S114" i="17"/>
  <c r="N114" i="17"/>
  <c r="N109" i="17"/>
  <c r="E154" i="17"/>
  <c r="F154" i="17"/>
  <c r="M152" i="17"/>
  <c r="C469" i="17"/>
  <c r="G15" i="24"/>
  <c r="J36" i="16"/>
  <c r="I53" i="16"/>
  <c r="D109" i="17"/>
  <c r="D114" i="17"/>
  <c r="V114" i="17"/>
  <c r="V109" i="17"/>
  <c r="C645" i="17"/>
  <c r="T109" i="17"/>
  <c r="T114" i="17"/>
  <c r="G114" i="17"/>
  <c r="G109" i="17"/>
  <c r="U152" i="17"/>
  <c r="M154" i="17"/>
  <c r="W154" i="17"/>
  <c r="N152" i="17"/>
  <c r="H507" i="17" l="1"/>
  <c r="H508" i="17" s="1"/>
  <c r="H509" i="17" s="1"/>
  <c r="K158" i="17"/>
  <c r="S153" i="17"/>
  <c r="S155" i="17" s="1"/>
  <c r="S156" i="17" s="1"/>
  <c r="S157" i="17" s="1"/>
  <c r="G507" i="17"/>
  <c r="G508" i="17" s="1"/>
  <c r="G509" i="17" s="1"/>
  <c r="T551" i="17"/>
  <c r="T552" i="17" s="1"/>
  <c r="T553" i="17" s="1"/>
  <c r="L507" i="17"/>
  <c r="L508" i="17" s="1"/>
  <c r="L509" i="17" s="1"/>
  <c r="V507" i="17"/>
  <c r="V508" i="17" s="1"/>
  <c r="V509" i="17" s="1"/>
  <c r="L65" i="20"/>
  <c r="L66" i="20" s="1"/>
  <c r="L70" i="20" s="1"/>
  <c r="L71" i="20" s="1"/>
  <c r="G595" i="17"/>
  <c r="G596" i="17" s="1"/>
  <c r="G597" i="17" s="1"/>
  <c r="I463" i="17"/>
  <c r="I464" i="17" s="1"/>
  <c r="I465" i="17" s="1"/>
  <c r="S639" i="17"/>
  <c r="S640" i="17" s="1"/>
  <c r="S641" i="17" s="1"/>
  <c r="P463" i="17"/>
  <c r="P464" i="17" s="1"/>
  <c r="P465" i="17" s="1"/>
  <c r="E65" i="20"/>
  <c r="E66" i="20" s="1"/>
  <c r="E70" i="20" s="1"/>
  <c r="E71" i="20" s="1"/>
  <c r="H65" i="20"/>
  <c r="H66" i="20" s="1"/>
  <c r="H70" i="20" s="1"/>
  <c r="H71" i="20" s="1"/>
  <c r="F65" i="20"/>
  <c r="F66" i="20" s="1"/>
  <c r="F70" i="20" s="1"/>
  <c r="F71" i="20" s="1"/>
  <c r="D65" i="20"/>
  <c r="D66" i="20" s="1"/>
  <c r="D70" i="20" s="1"/>
  <c r="D71" i="20" s="1"/>
  <c r="I153" i="17"/>
  <c r="I155" i="17" s="1"/>
  <c r="I156" i="17" s="1"/>
  <c r="I157" i="17" s="1"/>
  <c r="S507" i="17"/>
  <c r="S508" i="17" s="1"/>
  <c r="S509" i="17" s="1"/>
  <c r="R507" i="17"/>
  <c r="R508" i="17" s="1"/>
  <c r="R509" i="17" s="1"/>
  <c r="L463" i="17"/>
  <c r="L464" i="17" s="1"/>
  <c r="L465" i="17" s="1"/>
  <c r="O65" i="20"/>
  <c r="O66" i="20" s="1"/>
  <c r="O70" i="20" s="1"/>
  <c r="O71" i="20" s="1"/>
  <c r="D239" i="17"/>
  <c r="J595" i="17"/>
  <c r="J596" i="17" s="1"/>
  <c r="J597" i="17" s="1"/>
  <c r="L63" i="17"/>
  <c r="M63" i="17"/>
  <c r="K63" i="17"/>
  <c r="U415" i="17"/>
  <c r="P63" i="17"/>
  <c r="S595" i="17"/>
  <c r="S596" i="17" s="1"/>
  <c r="S597" i="17" s="1"/>
  <c r="G63" i="17"/>
  <c r="O63" i="17"/>
  <c r="T63" i="17"/>
  <c r="K65" i="20"/>
  <c r="K66" i="20" s="1"/>
  <c r="K70" i="20" s="1"/>
  <c r="K71" i="20" s="1"/>
  <c r="R239" i="17"/>
  <c r="P507" i="17"/>
  <c r="P508" i="17" s="1"/>
  <c r="P509" i="17" s="1"/>
  <c r="I63" i="17"/>
  <c r="D63" i="17"/>
  <c r="N63" i="17"/>
  <c r="E63" i="17"/>
  <c r="M65" i="20"/>
  <c r="M66" i="20" s="1"/>
  <c r="M70" i="20" s="1"/>
  <c r="M71" i="20" s="1"/>
  <c r="C14" i="20"/>
  <c r="Q239" i="17"/>
  <c r="N415" i="17"/>
  <c r="S63" i="17"/>
  <c r="F63" i="17"/>
  <c r="N65" i="20"/>
  <c r="N66" i="20" s="1"/>
  <c r="N70" i="20" s="1"/>
  <c r="N71" i="20" s="1"/>
  <c r="C20" i="16"/>
  <c r="F50" i="16" s="1"/>
  <c r="K239" i="17"/>
  <c r="N507" i="17"/>
  <c r="N508" i="17" s="1"/>
  <c r="N509" i="17" s="1"/>
  <c r="W463" i="17"/>
  <c r="W464" i="17" s="1"/>
  <c r="W465" i="17" s="1"/>
  <c r="D415" i="17"/>
  <c r="U63" i="17"/>
  <c r="W63" i="17"/>
  <c r="J65" i="20"/>
  <c r="J66" i="20" s="1"/>
  <c r="J70" i="20" s="1"/>
  <c r="J71" i="20" s="1"/>
  <c r="V239" i="17"/>
  <c r="E551" i="17"/>
  <c r="E552" i="17" s="1"/>
  <c r="E553" i="17" s="1"/>
  <c r="K327" i="17"/>
  <c r="O415" i="17"/>
  <c r="T192" i="17"/>
  <c r="T193" i="17" s="1"/>
  <c r="V192" i="17"/>
  <c r="V193" i="17" s="1"/>
  <c r="D192" i="17"/>
  <c r="D193" i="17" s="1"/>
  <c r="K192" i="17"/>
  <c r="K193" i="17" s="1"/>
  <c r="N192" i="17"/>
  <c r="N193" i="17" s="1"/>
  <c r="Q192" i="17"/>
  <c r="Q193" i="17" s="1"/>
  <c r="I192" i="17"/>
  <c r="I193" i="17" s="1"/>
  <c r="L192" i="17"/>
  <c r="L193" i="17" s="1"/>
  <c r="R192" i="17"/>
  <c r="R193" i="17" s="1"/>
  <c r="G192" i="17"/>
  <c r="G193" i="17" s="1"/>
  <c r="H192" i="17"/>
  <c r="H193" i="17" s="1"/>
  <c r="E192" i="17"/>
  <c r="E193" i="17" s="1"/>
  <c r="O192" i="17"/>
  <c r="O193" i="17" s="1"/>
  <c r="P192" i="17"/>
  <c r="P193" i="17" s="1"/>
  <c r="F192" i="17"/>
  <c r="F193" i="17" s="1"/>
  <c r="S192" i="17"/>
  <c r="S193" i="17" s="1"/>
  <c r="J192" i="17"/>
  <c r="J193" i="17" s="1"/>
  <c r="W192" i="17"/>
  <c r="W193" i="17" s="1"/>
  <c r="U192" i="17"/>
  <c r="U193" i="17" s="1"/>
  <c r="M192" i="17"/>
  <c r="M193" i="17" s="1"/>
  <c r="U239" i="17"/>
  <c r="M239" i="17"/>
  <c r="W415" i="17"/>
  <c r="J239" i="17"/>
  <c r="I239" i="17"/>
  <c r="F7" i="28"/>
  <c r="E7" i="28"/>
  <c r="D551" i="17"/>
  <c r="D552" i="17" s="1"/>
  <c r="D553" i="17" s="1"/>
  <c r="S415" i="17"/>
  <c r="I65" i="20"/>
  <c r="I66" i="20" s="1"/>
  <c r="I70" i="20" s="1"/>
  <c r="I71" i="20" s="1"/>
  <c r="G239" i="17"/>
  <c r="S239" i="17"/>
  <c r="H239" i="17"/>
  <c r="T239" i="17"/>
  <c r="L239" i="17"/>
  <c r="K236" i="17"/>
  <c r="K237" i="17" s="1"/>
  <c r="N236" i="17"/>
  <c r="N237" i="17" s="1"/>
  <c r="S236" i="17"/>
  <c r="S237" i="17" s="1"/>
  <c r="D236" i="17"/>
  <c r="D237" i="17" s="1"/>
  <c r="F236" i="17"/>
  <c r="F237" i="17" s="1"/>
  <c r="R236" i="17"/>
  <c r="R237" i="17" s="1"/>
  <c r="I236" i="17"/>
  <c r="I237" i="17" s="1"/>
  <c r="H236" i="17"/>
  <c r="H237" i="17" s="1"/>
  <c r="O236" i="17"/>
  <c r="O237" i="17" s="1"/>
  <c r="M236" i="17"/>
  <c r="M237" i="17" s="1"/>
  <c r="J236" i="17"/>
  <c r="J237" i="17" s="1"/>
  <c r="E236" i="17"/>
  <c r="E237" i="17" s="1"/>
  <c r="W236" i="17"/>
  <c r="W237" i="17" s="1"/>
  <c r="V236" i="17"/>
  <c r="V237" i="17" s="1"/>
  <c r="T236" i="17"/>
  <c r="T237" i="17" s="1"/>
  <c r="P236" i="17"/>
  <c r="P237" i="17" s="1"/>
  <c r="U236" i="17"/>
  <c r="U237" i="17" s="1"/>
  <c r="Q236" i="17"/>
  <c r="Q237" i="17" s="1"/>
  <c r="L236" i="17"/>
  <c r="L237" i="17" s="1"/>
  <c r="G236" i="17"/>
  <c r="G237" i="17" s="1"/>
  <c r="P239" i="17"/>
  <c r="N239" i="17"/>
  <c r="E239" i="17"/>
  <c r="S327" i="17"/>
  <c r="Q415" i="17"/>
  <c r="J63" i="17"/>
  <c r="V63" i="17"/>
  <c r="G65" i="20"/>
  <c r="G66" i="20" s="1"/>
  <c r="C14" i="15"/>
  <c r="N16" i="15" s="1"/>
  <c r="G8" i="21"/>
  <c r="E9" i="23"/>
  <c r="E17" i="36"/>
  <c r="E26" i="36" s="1"/>
  <c r="E18" i="19"/>
  <c r="E23" i="19" s="1"/>
  <c r="E21" i="36" s="1"/>
  <c r="W239" i="17"/>
  <c r="O239" i="17"/>
  <c r="G415" i="17"/>
  <c r="J415" i="17"/>
  <c r="V463" i="17"/>
  <c r="V464" i="17" s="1"/>
  <c r="V465" i="17" s="1"/>
  <c r="H415" i="17"/>
  <c r="E415" i="17"/>
  <c r="V551" i="17"/>
  <c r="V552" i="17" s="1"/>
  <c r="V553" i="17" s="1"/>
  <c r="P415" i="17"/>
  <c r="I415" i="17"/>
  <c r="U639" i="17"/>
  <c r="U640" i="17" s="1"/>
  <c r="U641" i="17" s="1"/>
  <c r="R415" i="17"/>
  <c r="F415" i="17"/>
  <c r="J507" i="17"/>
  <c r="J508" i="17" s="1"/>
  <c r="J509" i="17" s="1"/>
  <c r="K639" i="17"/>
  <c r="K640" i="17" s="1"/>
  <c r="K641" i="17" s="1"/>
  <c r="K415" i="17"/>
  <c r="L415" i="17"/>
  <c r="F327" i="17"/>
  <c r="L327" i="17"/>
  <c r="E8" i="28"/>
  <c r="F8" i="28"/>
  <c r="E9" i="28"/>
  <c r="F9" i="28"/>
  <c r="K324" i="17"/>
  <c r="K325" i="17" s="1"/>
  <c r="D324" i="17"/>
  <c r="D325" i="17" s="1"/>
  <c r="O324" i="17"/>
  <c r="O325" i="17" s="1"/>
  <c r="W324" i="17"/>
  <c r="W325" i="17" s="1"/>
  <c r="E324" i="17"/>
  <c r="E325" i="17" s="1"/>
  <c r="G324" i="17"/>
  <c r="G325" i="17" s="1"/>
  <c r="P324" i="17"/>
  <c r="P325" i="17" s="1"/>
  <c r="N324" i="17"/>
  <c r="N325" i="17" s="1"/>
  <c r="T324" i="17"/>
  <c r="T325" i="17" s="1"/>
  <c r="F324" i="17"/>
  <c r="F325" i="17" s="1"/>
  <c r="M324" i="17"/>
  <c r="M325" i="17" s="1"/>
  <c r="H324" i="17"/>
  <c r="H325" i="17" s="1"/>
  <c r="U324" i="17"/>
  <c r="U325" i="17" s="1"/>
  <c r="J324" i="17"/>
  <c r="J325" i="17" s="1"/>
  <c r="S324" i="17"/>
  <c r="S325" i="17" s="1"/>
  <c r="L324" i="17"/>
  <c r="L325" i="17" s="1"/>
  <c r="I324" i="17"/>
  <c r="I325" i="17" s="1"/>
  <c r="Q324" i="17"/>
  <c r="Q325" i="17" s="1"/>
  <c r="R324" i="17"/>
  <c r="R325" i="17" s="1"/>
  <c r="V324" i="17"/>
  <c r="V325" i="17" s="1"/>
  <c r="G9" i="23"/>
  <c r="G10" i="21"/>
  <c r="G17" i="36"/>
  <c r="G26" i="36" s="1"/>
  <c r="G18" i="19"/>
  <c r="G23" i="19" s="1"/>
  <c r="G21" i="36" s="1"/>
  <c r="J280" i="17"/>
  <c r="J281" i="17" s="1"/>
  <c r="O280" i="17"/>
  <c r="O281" i="17" s="1"/>
  <c r="Q280" i="17"/>
  <c r="Q281" i="17" s="1"/>
  <c r="H280" i="17"/>
  <c r="H281" i="17" s="1"/>
  <c r="G280" i="17"/>
  <c r="G281" i="17" s="1"/>
  <c r="I280" i="17"/>
  <c r="I281" i="17" s="1"/>
  <c r="T280" i="17"/>
  <c r="T281" i="17" s="1"/>
  <c r="D280" i="17"/>
  <c r="D281" i="17" s="1"/>
  <c r="V280" i="17"/>
  <c r="V281" i="17" s="1"/>
  <c r="R280" i="17"/>
  <c r="R281" i="17" s="1"/>
  <c r="U280" i="17"/>
  <c r="U281" i="17" s="1"/>
  <c r="N280" i="17"/>
  <c r="N281" i="17" s="1"/>
  <c r="P280" i="17"/>
  <c r="P281" i="17" s="1"/>
  <c r="M280" i="17"/>
  <c r="M281" i="17" s="1"/>
  <c r="F280" i="17"/>
  <c r="F281" i="17" s="1"/>
  <c r="L280" i="17"/>
  <c r="L281" i="17" s="1"/>
  <c r="S280" i="17"/>
  <c r="S281" i="17" s="1"/>
  <c r="K280" i="17"/>
  <c r="K281" i="17" s="1"/>
  <c r="W280" i="17"/>
  <c r="W281" i="17" s="1"/>
  <c r="E280" i="17"/>
  <c r="E281" i="17" s="1"/>
  <c r="M327" i="17"/>
  <c r="W327" i="17"/>
  <c r="F17" i="36"/>
  <c r="F26" i="36" s="1"/>
  <c r="F9" i="23"/>
  <c r="G9" i="21"/>
  <c r="F18" i="19"/>
  <c r="J16" i="17"/>
  <c r="J17" i="17" s="1"/>
  <c r="S16" i="17"/>
  <c r="S17" i="17" s="1"/>
  <c r="N16" i="17"/>
  <c r="N17" i="17" s="1"/>
  <c r="Q16" i="17"/>
  <c r="Q17" i="17" s="1"/>
  <c r="K16" i="17"/>
  <c r="K17" i="17" s="1"/>
  <c r="M16" i="17"/>
  <c r="M17" i="17" s="1"/>
  <c r="I16" i="17"/>
  <c r="I17" i="17" s="1"/>
  <c r="E16" i="17"/>
  <c r="E17" i="17" s="1"/>
  <c r="F16" i="17"/>
  <c r="F17" i="17" s="1"/>
  <c r="P16" i="17"/>
  <c r="P17" i="17" s="1"/>
  <c r="V16" i="17"/>
  <c r="V17" i="17" s="1"/>
  <c r="O16" i="17"/>
  <c r="O17" i="17" s="1"/>
  <c r="H16" i="17"/>
  <c r="H17" i="17" s="1"/>
  <c r="D16" i="17"/>
  <c r="D17" i="17" s="1"/>
  <c r="W16" i="17"/>
  <c r="W17" i="17" s="1"/>
  <c r="U16" i="17"/>
  <c r="U17" i="17" s="1"/>
  <c r="T16" i="17"/>
  <c r="T17" i="17" s="1"/>
  <c r="R16" i="17"/>
  <c r="R17" i="17" s="1"/>
  <c r="G16" i="17"/>
  <c r="G17" i="17" s="1"/>
  <c r="L16" i="17"/>
  <c r="L17" i="17" s="1"/>
  <c r="T327" i="17"/>
  <c r="R327" i="17"/>
  <c r="Q327" i="17"/>
  <c r="N327" i="17"/>
  <c r="F5" i="28"/>
  <c r="E5" i="28"/>
  <c r="C9" i="23"/>
  <c r="C18" i="19"/>
  <c r="C23" i="19" s="1"/>
  <c r="C21" i="36" s="1"/>
  <c r="G6" i="21"/>
  <c r="C17" i="36"/>
  <c r="C26" i="36" s="1"/>
  <c r="O327" i="17"/>
  <c r="U327" i="17"/>
  <c r="J327" i="17"/>
  <c r="K368" i="17"/>
  <c r="K369" i="17" s="1"/>
  <c r="L368" i="17"/>
  <c r="L369" i="17" s="1"/>
  <c r="O368" i="17"/>
  <c r="O369" i="17" s="1"/>
  <c r="J368" i="17"/>
  <c r="J369" i="17" s="1"/>
  <c r="W368" i="17"/>
  <c r="W369" i="17" s="1"/>
  <c r="D368" i="17"/>
  <c r="D369" i="17" s="1"/>
  <c r="R368" i="17"/>
  <c r="R369" i="17" s="1"/>
  <c r="H368" i="17"/>
  <c r="H369" i="17" s="1"/>
  <c r="F368" i="17"/>
  <c r="F369" i="17" s="1"/>
  <c r="Q368" i="17"/>
  <c r="Q369" i="17" s="1"/>
  <c r="G368" i="17"/>
  <c r="G369" i="17" s="1"/>
  <c r="I368" i="17"/>
  <c r="I369" i="17" s="1"/>
  <c r="N368" i="17"/>
  <c r="N369" i="17" s="1"/>
  <c r="U368" i="17"/>
  <c r="U369" i="17" s="1"/>
  <c r="V368" i="17"/>
  <c r="V369" i="17" s="1"/>
  <c r="M368" i="17"/>
  <c r="M369" i="17" s="1"/>
  <c r="T368" i="17"/>
  <c r="T369" i="17" s="1"/>
  <c r="S368" i="17"/>
  <c r="S369" i="17" s="1"/>
  <c r="E368" i="17"/>
  <c r="E369" i="17" s="1"/>
  <c r="P368" i="17"/>
  <c r="P369" i="17" s="1"/>
  <c r="T415" i="17"/>
  <c r="V415" i="17"/>
  <c r="Q63" i="17"/>
  <c r="R63" i="17"/>
  <c r="G327" i="17"/>
  <c r="D327" i="17"/>
  <c r="I327" i="17"/>
  <c r="D412" i="17"/>
  <c r="D413" i="17" s="1"/>
  <c r="J412" i="17"/>
  <c r="J413" i="17" s="1"/>
  <c r="S412" i="17"/>
  <c r="S413" i="17" s="1"/>
  <c r="I412" i="17"/>
  <c r="I413" i="17" s="1"/>
  <c r="K412" i="17"/>
  <c r="K413" i="17" s="1"/>
  <c r="H412" i="17"/>
  <c r="H413" i="17" s="1"/>
  <c r="U412" i="17"/>
  <c r="U413" i="17" s="1"/>
  <c r="P412" i="17"/>
  <c r="P413" i="17" s="1"/>
  <c r="Q412" i="17"/>
  <c r="Q413" i="17" s="1"/>
  <c r="M412" i="17"/>
  <c r="M413" i="17" s="1"/>
  <c r="O412" i="17"/>
  <c r="O413" i="17" s="1"/>
  <c r="W412" i="17"/>
  <c r="W413" i="17" s="1"/>
  <c r="E412" i="17"/>
  <c r="E413" i="17" s="1"/>
  <c r="N412" i="17"/>
  <c r="N413" i="17" s="1"/>
  <c r="V412" i="17"/>
  <c r="V413" i="17" s="1"/>
  <c r="T412" i="17"/>
  <c r="T413" i="17" s="1"/>
  <c r="F412" i="17"/>
  <c r="F413" i="17" s="1"/>
  <c r="R412" i="17"/>
  <c r="R413" i="17" s="1"/>
  <c r="L412" i="17"/>
  <c r="L413" i="17" s="1"/>
  <c r="G412" i="17"/>
  <c r="G413" i="17" s="1"/>
  <c r="W60" i="17"/>
  <c r="W61" i="17" s="1"/>
  <c r="U60" i="17"/>
  <c r="U61" i="17" s="1"/>
  <c r="O60" i="17"/>
  <c r="O61" i="17" s="1"/>
  <c r="M60" i="17"/>
  <c r="M61" i="17" s="1"/>
  <c r="R60" i="17"/>
  <c r="R61" i="17" s="1"/>
  <c r="S60" i="17"/>
  <c r="S61" i="17" s="1"/>
  <c r="G60" i="17"/>
  <c r="G61" i="17" s="1"/>
  <c r="E60" i="17"/>
  <c r="E61" i="17" s="1"/>
  <c r="T60" i="17"/>
  <c r="T61" i="17" s="1"/>
  <c r="V60" i="17"/>
  <c r="V61" i="17" s="1"/>
  <c r="Q60" i="17"/>
  <c r="Q61" i="17" s="1"/>
  <c r="N60" i="17"/>
  <c r="N61" i="17" s="1"/>
  <c r="I60" i="17"/>
  <c r="I61" i="17" s="1"/>
  <c r="D60" i="17"/>
  <c r="D61" i="17" s="1"/>
  <c r="F60" i="17"/>
  <c r="F61" i="17" s="1"/>
  <c r="J60" i="17"/>
  <c r="J61" i="17" s="1"/>
  <c r="K60" i="17"/>
  <c r="K61" i="17" s="1"/>
  <c r="P60" i="17"/>
  <c r="P61" i="17" s="1"/>
  <c r="H60" i="17"/>
  <c r="H61" i="17" s="1"/>
  <c r="L60" i="17"/>
  <c r="L61" i="17" s="1"/>
  <c r="H327" i="17"/>
  <c r="E327" i="17"/>
  <c r="P327" i="17"/>
  <c r="J639" i="17"/>
  <c r="J640" i="17" s="1"/>
  <c r="J641" i="17" s="1"/>
  <c r="Q595" i="17"/>
  <c r="Q596" i="17" s="1"/>
  <c r="Q597" i="17" s="1"/>
  <c r="F507" i="17"/>
  <c r="F508" i="17" s="1"/>
  <c r="F509" i="17" s="1"/>
  <c r="H463" i="17"/>
  <c r="H464" i="17" s="1"/>
  <c r="H465" i="17" s="1"/>
  <c r="O639" i="17"/>
  <c r="O640" i="17" s="1"/>
  <c r="O641" i="17" s="1"/>
  <c r="R639" i="17"/>
  <c r="R640" i="17" s="1"/>
  <c r="R641" i="17" s="1"/>
  <c r="I639" i="17"/>
  <c r="I640" i="17" s="1"/>
  <c r="I641" i="17" s="1"/>
  <c r="U507" i="17"/>
  <c r="U508" i="17" s="1"/>
  <c r="U509" i="17" s="1"/>
  <c r="J551" i="17"/>
  <c r="J552" i="17" s="1"/>
  <c r="J553" i="17" s="1"/>
  <c r="Q639" i="17"/>
  <c r="Q640" i="17" s="1"/>
  <c r="Q641" i="17" s="1"/>
  <c r="D639" i="17"/>
  <c r="D640" i="17" s="1"/>
  <c r="D641" i="17" s="1"/>
  <c r="P595" i="17"/>
  <c r="P596" i="17" s="1"/>
  <c r="P597" i="17" s="1"/>
  <c r="I507" i="17"/>
  <c r="I508" i="17" s="1"/>
  <c r="I509" i="17" s="1"/>
  <c r="M551" i="17"/>
  <c r="M552" i="17" s="1"/>
  <c r="M553" i="17" s="1"/>
  <c r="R463" i="17"/>
  <c r="R464" i="17" s="1"/>
  <c r="R465" i="17" s="1"/>
  <c r="S463" i="17"/>
  <c r="S464" i="17" s="1"/>
  <c r="S465" i="17" s="1"/>
  <c r="T595" i="17"/>
  <c r="T596" i="17" s="1"/>
  <c r="T597" i="17" s="1"/>
  <c r="T463" i="17"/>
  <c r="T464" i="17" s="1"/>
  <c r="T465" i="17" s="1"/>
  <c r="K463" i="17"/>
  <c r="K464" i="17" s="1"/>
  <c r="K465" i="17" s="1"/>
  <c r="V595" i="17"/>
  <c r="V596" i="17" s="1"/>
  <c r="V597" i="17" s="1"/>
  <c r="G463" i="17"/>
  <c r="G464" i="17" s="1"/>
  <c r="G465" i="17" s="1"/>
  <c r="H639" i="17"/>
  <c r="H640" i="17" s="1"/>
  <c r="H641" i="17" s="1"/>
  <c r="W551" i="17"/>
  <c r="W552" i="17" s="1"/>
  <c r="W553" i="17" s="1"/>
  <c r="I551" i="17"/>
  <c r="I552" i="17" s="1"/>
  <c r="I553" i="17" s="1"/>
  <c r="D463" i="17"/>
  <c r="D464" i="17" s="1"/>
  <c r="D465" i="17" s="1"/>
  <c r="R153" i="17"/>
  <c r="R155" i="17" s="1"/>
  <c r="R156" i="17" s="1"/>
  <c r="R157" i="17" s="1"/>
  <c r="U463" i="17"/>
  <c r="U464" i="17" s="1"/>
  <c r="U465" i="17" s="1"/>
  <c r="W507" i="17"/>
  <c r="W508" i="17" s="1"/>
  <c r="W509" i="17" s="1"/>
  <c r="O551" i="17"/>
  <c r="O552" i="17" s="1"/>
  <c r="O553" i="17" s="1"/>
  <c r="V639" i="17"/>
  <c r="V640" i="17" s="1"/>
  <c r="V641" i="17" s="1"/>
  <c r="W595" i="17"/>
  <c r="W596" i="17" s="1"/>
  <c r="W597" i="17" s="1"/>
  <c r="T507" i="17"/>
  <c r="T508" i="17" s="1"/>
  <c r="T509" i="17" s="1"/>
  <c r="P639" i="17"/>
  <c r="P640" i="17" s="1"/>
  <c r="P641" i="17" s="1"/>
  <c r="D595" i="17"/>
  <c r="D596" i="17" s="1"/>
  <c r="D597" i="17" s="1"/>
  <c r="L639" i="17"/>
  <c r="L640" i="17" s="1"/>
  <c r="L641" i="17" s="1"/>
  <c r="T639" i="17"/>
  <c r="T640" i="17" s="1"/>
  <c r="T641" i="17" s="1"/>
  <c r="R595" i="17"/>
  <c r="R596" i="17" s="1"/>
  <c r="R597" i="17" s="1"/>
  <c r="E639" i="17"/>
  <c r="E640" i="17" s="1"/>
  <c r="E641" i="17" s="1"/>
  <c r="G551" i="17"/>
  <c r="G552" i="17" s="1"/>
  <c r="G553" i="17" s="1"/>
  <c r="J463" i="17"/>
  <c r="J464" i="17" s="1"/>
  <c r="J465" i="17" s="1"/>
  <c r="G639" i="17"/>
  <c r="G640" i="17" s="1"/>
  <c r="G641" i="17" s="1"/>
  <c r="H153" i="17"/>
  <c r="H155" i="17" s="1"/>
  <c r="H156" i="17" s="1"/>
  <c r="H157" i="17" s="1"/>
  <c r="D507" i="17"/>
  <c r="D508" i="17" s="1"/>
  <c r="D509" i="17" s="1"/>
  <c r="N463" i="17"/>
  <c r="N464" i="17" s="1"/>
  <c r="N465" i="17" s="1"/>
  <c r="M595" i="17"/>
  <c r="M596" i="17" s="1"/>
  <c r="M597" i="17" s="1"/>
  <c r="U595" i="17"/>
  <c r="U596" i="17" s="1"/>
  <c r="U597" i="17" s="1"/>
  <c r="F463" i="17"/>
  <c r="F464" i="17" s="1"/>
  <c r="F465" i="17" s="1"/>
  <c r="N639" i="17"/>
  <c r="N640" i="17" s="1"/>
  <c r="N641" i="17" s="1"/>
  <c r="O507" i="17"/>
  <c r="O508" i="17" s="1"/>
  <c r="O509" i="17" s="1"/>
  <c r="Q507" i="17"/>
  <c r="Q508" i="17" s="1"/>
  <c r="Q509" i="17" s="1"/>
  <c r="F639" i="17"/>
  <c r="F640" i="17" s="1"/>
  <c r="F641" i="17" s="1"/>
  <c r="M463" i="17"/>
  <c r="M464" i="17" s="1"/>
  <c r="M465" i="17" s="1"/>
  <c r="T153" i="17"/>
  <c r="T155" i="17" s="1"/>
  <c r="T156" i="17" s="1"/>
  <c r="T157" i="17" s="1"/>
  <c r="P551" i="17"/>
  <c r="P552" i="17" s="1"/>
  <c r="P553" i="17" s="1"/>
  <c r="O153" i="17"/>
  <c r="O155" i="17" s="1"/>
  <c r="O156" i="17" s="1"/>
  <c r="O157" i="17" s="1"/>
  <c r="F595" i="17"/>
  <c r="F596" i="17" s="1"/>
  <c r="F597" i="17" s="1"/>
  <c r="F153" i="17"/>
  <c r="F155" i="17" s="1"/>
  <c r="F156" i="17" s="1"/>
  <c r="F157" i="17" s="1"/>
  <c r="U551" i="17"/>
  <c r="U552" i="17" s="1"/>
  <c r="U553" i="17" s="1"/>
  <c r="K507" i="17"/>
  <c r="K508" i="17" s="1"/>
  <c r="K509" i="17" s="1"/>
  <c r="F551" i="17"/>
  <c r="F552" i="17" s="1"/>
  <c r="F553" i="17" s="1"/>
  <c r="C14" i="16"/>
  <c r="D6" i="36" s="1"/>
  <c r="H551" i="17"/>
  <c r="H552" i="17" s="1"/>
  <c r="H553" i="17" s="1"/>
  <c r="R551" i="17"/>
  <c r="R552" i="17" s="1"/>
  <c r="R553" i="17" s="1"/>
  <c r="G153" i="17"/>
  <c r="G155" i="17" s="1"/>
  <c r="G156" i="17" s="1"/>
  <c r="G157" i="17" s="1"/>
  <c r="E507" i="17"/>
  <c r="E508" i="17" s="1"/>
  <c r="E509" i="17" s="1"/>
  <c r="L153" i="17"/>
  <c r="L155" i="17" s="1"/>
  <c r="L156" i="17" s="1"/>
  <c r="L157" i="17" s="1"/>
  <c r="O595" i="17"/>
  <c r="O596" i="17" s="1"/>
  <c r="O597" i="17" s="1"/>
  <c r="E153" i="17"/>
  <c r="E155" i="17" s="1"/>
  <c r="E156" i="17" s="1"/>
  <c r="E157" i="17" s="1"/>
  <c r="W158" i="17"/>
  <c r="C7" i="20"/>
  <c r="Q551" i="17"/>
  <c r="Q552" i="17" s="1"/>
  <c r="Q553" i="17" s="1"/>
  <c r="V158" i="17"/>
  <c r="H595" i="17"/>
  <c r="H596" i="17" s="1"/>
  <c r="H597" i="17" s="1"/>
  <c r="S551" i="17"/>
  <c r="S552" i="17" s="1"/>
  <c r="S553" i="17" s="1"/>
  <c r="K551" i="17"/>
  <c r="K552" i="17" s="1"/>
  <c r="K553" i="17" s="1"/>
  <c r="E595" i="17"/>
  <c r="E596" i="17" s="1"/>
  <c r="E597" i="17" s="1"/>
  <c r="N595" i="17"/>
  <c r="N596" i="17" s="1"/>
  <c r="N597" i="17" s="1"/>
  <c r="I595" i="17"/>
  <c r="I596" i="17" s="1"/>
  <c r="I597" i="17" s="1"/>
  <c r="P158" i="17"/>
  <c r="H111" i="17"/>
  <c r="H112" i="17" s="1"/>
  <c r="H113" i="17" s="1"/>
  <c r="Q153" i="17"/>
  <c r="Q158" i="17"/>
  <c r="O111" i="17"/>
  <c r="O112" i="17" s="1"/>
  <c r="O113" i="17" s="1"/>
  <c r="W155" i="17"/>
  <c r="W156" i="17" s="1"/>
  <c r="W157" i="17" s="1"/>
  <c r="H15" i="24"/>
  <c r="K36" i="16"/>
  <c r="J53" i="16"/>
  <c r="S111" i="17"/>
  <c r="S112" i="17" s="1"/>
  <c r="S113" i="17" s="1"/>
  <c r="R111" i="17"/>
  <c r="R112" i="17" s="1"/>
  <c r="R113" i="17" s="1"/>
  <c r="N158" i="17"/>
  <c r="N153" i="17"/>
  <c r="G111" i="17"/>
  <c r="G112" i="17" s="1"/>
  <c r="G113" i="17" s="1"/>
  <c r="M111" i="17"/>
  <c r="M112" i="17" s="1"/>
  <c r="M113" i="17" s="1"/>
  <c r="J153" i="17"/>
  <c r="J158" i="17"/>
  <c r="I111" i="17"/>
  <c r="I112" i="17" s="1"/>
  <c r="I113" i="17" s="1"/>
  <c r="D111" i="17"/>
  <c r="D112" i="17" s="1"/>
  <c r="D113" i="17" s="1"/>
  <c r="K155" i="17"/>
  <c r="K156" i="17" s="1"/>
  <c r="K157" i="17" s="1"/>
  <c r="W111" i="17"/>
  <c r="W112" i="17" s="1"/>
  <c r="W113" i="17" s="1"/>
  <c r="U158" i="17"/>
  <c r="U153" i="17"/>
  <c r="E109" i="17"/>
  <c r="E114" i="17"/>
  <c r="T111" i="17"/>
  <c r="T112" i="17" s="1"/>
  <c r="T113" i="17" s="1"/>
  <c r="M158" i="17"/>
  <c r="M153" i="17"/>
  <c r="P111" i="17"/>
  <c r="P112" i="17" s="1"/>
  <c r="P113" i="17" s="1"/>
  <c r="U111" i="17"/>
  <c r="U112" i="17" s="1"/>
  <c r="U113" i="17" s="1"/>
  <c r="V111" i="17"/>
  <c r="V112" i="17" s="1"/>
  <c r="V113" i="17" s="1"/>
  <c r="N111" i="17"/>
  <c r="N112" i="17" s="1"/>
  <c r="N113" i="17" s="1"/>
  <c r="D155" i="17"/>
  <c r="D156" i="17" s="1"/>
  <c r="D157" i="17" s="1"/>
  <c r="K111" i="17"/>
  <c r="K112" i="17" s="1"/>
  <c r="K113" i="17" s="1"/>
  <c r="L111" i="17"/>
  <c r="L112" i="17" s="1"/>
  <c r="L113" i="17" s="1"/>
  <c r="V155" i="17"/>
  <c r="V156" i="17" s="1"/>
  <c r="V157" i="17" s="1"/>
  <c r="F114" i="17"/>
  <c r="F109" i="17"/>
  <c r="Q111" i="17"/>
  <c r="Q112" i="17" s="1"/>
  <c r="Q113" i="17" s="1"/>
  <c r="P155" i="17"/>
  <c r="P156" i="17" s="1"/>
  <c r="P157" i="17" s="1"/>
  <c r="J111" i="17"/>
  <c r="J112" i="17" s="1"/>
  <c r="J113" i="17" s="1"/>
  <c r="C20" i="20" l="1"/>
  <c r="B8" i="33"/>
  <c r="G56" i="16"/>
  <c r="G39" i="16" s="1"/>
  <c r="U16" i="15"/>
  <c r="U48" i="16" s="1"/>
  <c r="J16" i="15"/>
  <c r="J48" i="16" s="1"/>
  <c r="F49" i="16"/>
  <c r="H16" i="15"/>
  <c r="H17" i="15" s="1"/>
  <c r="J50" i="16"/>
  <c r="G16" i="15"/>
  <c r="G48" i="16" s="1"/>
  <c r="Q16" i="15"/>
  <c r="Q17" i="15" s="1"/>
  <c r="E74" i="20"/>
  <c r="F56" i="16"/>
  <c r="F37" i="16" s="1"/>
  <c r="O72" i="20"/>
  <c r="E51" i="16"/>
  <c r="C11" i="20"/>
  <c r="J49" i="16"/>
  <c r="D50" i="16"/>
  <c r="C8" i="33"/>
  <c r="J56" i="16"/>
  <c r="J39" i="16" s="1"/>
  <c r="O73" i="20"/>
  <c r="G49" i="16"/>
  <c r="E56" i="16"/>
  <c r="E39" i="16" s="1"/>
  <c r="H49" i="16"/>
  <c r="H56" i="16"/>
  <c r="H39" i="16" s="1"/>
  <c r="C12" i="20"/>
  <c r="C10" i="20"/>
  <c r="C22" i="16"/>
  <c r="G51" i="16"/>
  <c r="H51" i="16"/>
  <c r="H50" i="16"/>
  <c r="D56" i="16"/>
  <c r="D37" i="16" s="1"/>
  <c r="D51" i="16"/>
  <c r="F51" i="16"/>
  <c r="E49" i="16"/>
  <c r="G74" i="20"/>
  <c r="G50" i="16"/>
  <c r="J51" i="16"/>
  <c r="N72" i="20"/>
  <c r="E50" i="16"/>
  <c r="C13" i="20"/>
  <c r="D49" i="16"/>
  <c r="S16" i="15"/>
  <c r="S17" i="15" s="1"/>
  <c r="T16" i="15"/>
  <c r="T48" i="16" s="1"/>
  <c r="O16" i="15"/>
  <c r="O17" i="15" s="1"/>
  <c r="M16" i="15"/>
  <c r="M48" i="16" s="1"/>
  <c r="K74" i="20"/>
  <c r="J74" i="20"/>
  <c r="N74" i="20"/>
  <c r="F74" i="20"/>
  <c r="I74" i="20"/>
  <c r="J72" i="20"/>
  <c r="D74" i="20"/>
  <c r="L16" i="15"/>
  <c r="L48" i="16" s="1"/>
  <c r="R16" i="15"/>
  <c r="R17" i="15" s="1"/>
  <c r="D16" i="15"/>
  <c r="D48" i="16" s="1"/>
  <c r="K16" i="15"/>
  <c r="K17" i="15" s="1"/>
  <c r="F16" i="15"/>
  <c r="F48" i="16" s="1"/>
  <c r="V16" i="15"/>
  <c r="V17" i="15" s="1"/>
  <c r="E16" i="15"/>
  <c r="E48" i="16" s="1"/>
  <c r="P16" i="15"/>
  <c r="P17" i="15" s="1"/>
  <c r="I16" i="15"/>
  <c r="I17" i="15" s="1"/>
  <c r="W16" i="15"/>
  <c r="W48" i="16" s="1"/>
  <c r="I73" i="20"/>
  <c r="H73" i="20"/>
  <c r="E73" i="20"/>
  <c r="I72" i="20"/>
  <c r="L73" i="20"/>
  <c r="E72" i="20"/>
  <c r="F73" i="20"/>
  <c r="I56" i="16"/>
  <c r="G73" i="20"/>
  <c r="F72" i="20"/>
  <c r="J73" i="20"/>
  <c r="M73" i="20"/>
  <c r="I50" i="16"/>
  <c r="K73" i="20"/>
  <c r="N73" i="20"/>
  <c r="D73" i="20"/>
  <c r="I49" i="16"/>
  <c r="H72" i="20"/>
  <c r="L72" i="20"/>
  <c r="I51" i="16"/>
  <c r="K72" i="20"/>
  <c r="D72" i="20"/>
  <c r="M72" i="20"/>
  <c r="G72" i="20"/>
  <c r="M74" i="20"/>
  <c r="O74" i="20"/>
  <c r="H74" i="20"/>
  <c r="L74" i="20"/>
  <c r="G238" i="17"/>
  <c r="G240" i="17" s="1"/>
  <c r="G242" i="17"/>
  <c r="E238" i="17"/>
  <c r="E240" i="17" s="1"/>
  <c r="E242" i="17"/>
  <c r="D238" i="17"/>
  <c r="D240" i="17" s="1"/>
  <c r="D242" i="17"/>
  <c r="U194" i="17"/>
  <c r="U196" i="17" s="1"/>
  <c r="U198" i="17"/>
  <c r="E194" i="17"/>
  <c r="E196" i="17" s="1"/>
  <c r="E198" i="17"/>
  <c r="K194" i="17"/>
  <c r="K196" i="17" s="1"/>
  <c r="K198" i="17"/>
  <c r="L238" i="17"/>
  <c r="L240" i="17" s="1"/>
  <c r="L242" i="17"/>
  <c r="J238" i="17"/>
  <c r="J240" i="17" s="1"/>
  <c r="J242" i="17"/>
  <c r="S238" i="17"/>
  <c r="S240" i="17" s="1"/>
  <c r="S242" i="17"/>
  <c r="W194" i="17"/>
  <c r="W196" i="17" s="1"/>
  <c r="W198" i="17"/>
  <c r="H194" i="17"/>
  <c r="H196" i="17" s="1"/>
  <c r="H198" i="17"/>
  <c r="D194" i="17"/>
  <c r="D196" i="17" s="1"/>
  <c r="D198" i="17"/>
  <c r="E19" i="36"/>
  <c r="E20" i="36"/>
  <c r="E10" i="23"/>
  <c r="E19" i="23" s="1"/>
  <c r="Q238" i="17"/>
  <c r="Q240" i="17" s="1"/>
  <c r="Q242" i="17"/>
  <c r="M238" i="17"/>
  <c r="M240" i="17" s="1"/>
  <c r="M242" i="17"/>
  <c r="N238" i="17"/>
  <c r="N240" i="17" s="1"/>
  <c r="N242" i="17"/>
  <c r="J194" i="17"/>
  <c r="J196" i="17" s="1"/>
  <c r="J198" i="17"/>
  <c r="G194" i="17"/>
  <c r="G196" i="17" s="1"/>
  <c r="G198" i="17"/>
  <c r="V194" i="17"/>
  <c r="V196" i="17" s="1"/>
  <c r="V198" i="17"/>
  <c r="C12" i="28"/>
  <c r="U238" i="17"/>
  <c r="U240" i="17" s="1"/>
  <c r="U242" i="17"/>
  <c r="O238" i="17"/>
  <c r="O240" i="17" s="1"/>
  <c r="O242" i="17"/>
  <c r="K238" i="17"/>
  <c r="K240" i="17" s="1"/>
  <c r="K242" i="17"/>
  <c r="S194" i="17"/>
  <c r="S196" i="17" s="1"/>
  <c r="S198" i="17"/>
  <c r="R194" i="17"/>
  <c r="R196" i="17" s="1"/>
  <c r="R198" i="17"/>
  <c r="T194" i="17"/>
  <c r="T196" i="17" s="1"/>
  <c r="T198" i="17"/>
  <c r="P238" i="17"/>
  <c r="P240" i="17" s="1"/>
  <c r="P242" i="17"/>
  <c r="H238" i="17"/>
  <c r="H240" i="17" s="1"/>
  <c r="H242" i="17"/>
  <c r="L194" i="17"/>
  <c r="L196" i="17" s="1"/>
  <c r="L198" i="17"/>
  <c r="T238" i="17"/>
  <c r="T240" i="17" s="1"/>
  <c r="T242" i="17"/>
  <c r="I238" i="17"/>
  <c r="I240" i="17" s="1"/>
  <c r="I242" i="17"/>
  <c r="F194" i="17"/>
  <c r="F196" i="17" s="1"/>
  <c r="F198" i="17"/>
  <c r="I194" i="17"/>
  <c r="I196" i="17" s="1"/>
  <c r="I198" i="17"/>
  <c r="V238" i="17"/>
  <c r="V240" i="17" s="1"/>
  <c r="V242" i="17"/>
  <c r="R238" i="17"/>
  <c r="R240" i="17" s="1"/>
  <c r="R242" i="17"/>
  <c r="G70" i="20"/>
  <c r="G71" i="20" s="1"/>
  <c r="P194" i="17"/>
  <c r="P196" i="17" s="1"/>
  <c r="P198" i="17"/>
  <c r="Q194" i="17"/>
  <c r="Q196" i="17" s="1"/>
  <c r="Q198" i="17"/>
  <c r="W238" i="17"/>
  <c r="W240" i="17" s="1"/>
  <c r="W242" i="17"/>
  <c r="F238" i="17"/>
  <c r="F240" i="17" s="1"/>
  <c r="F242" i="17"/>
  <c r="M194" i="17"/>
  <c r="M196" i="17" s="1"/>
  <c r="M198" i="17"/>
  <c r="O194" i="17"/>
  <c r="O196" i="17" s="1"/>
  <c r="O198" i="17"/>
  <c r="N194" i="17"/>
  <c r="N196" i="17" s="1"/>
  <c r="N198" i="17"/>
  <c r="C36" i="21"/>
  <c r="L62" i="17"/>
  <c r="L64" i="17" s="1"/>
  <c r="L66" i="17"/>
  <c r="N62" i="17"/>
  <c r="N64" i="17" s="1"/>
  <c r="N66" i="17"/>
  <c r="M62" i="17"/>
  <c r="M64" i="17" s="1"/>
  <c r="M66" i="17"/>
  <c r="R414" i="17"/>
  <c r="R416" i="17" s="1"/>
  <c r="R418" i="17"/>
  <c r="M414" i="17"/>
  <c r="M416" i="17" s="1"/>
  <c r="M418" i="17"/>
  <c r="J414" i="17"/>
  <c r="J416" i="17" s="1"/>
  <c r="J418" i="17"/>
  <c r="E370" i="17"/>
  <c r="E372" i="17" s="1"/>
  <c r="E374" i="17"/>
  <c r="I374" i="17"/>
  <c r="I370" i="17"/>
  <c r="I372" i="17" s="1"/>
  <c r="J370" i="17"/>
  <c r="J372" i="17" s="1"/>
  <c r="J374" i="17"/>
  <c r="N17" i="15"/>
  <c r="N48" i="16"/>
  <c r="R18" i="17"/>
  <c r="R20" i="17" s="1"/>
  <c r="R22" i="17"/>
  <c r="V18" i="17"/>
  <c r="V20" i="17" s="1"/>
  <c r="V22" i="17"/>
  <c r="N18" i="17"/>
  <c r="N20" i="17" s="1"/>
  <c r="N22" i="17"/>
  <c r="W282" i="17"/>
  <c r="W284" i="17" s="1"/>
  <c r="W286" i="17"/>
  <c r="N282" i="17"/>
  <c r="N284" i="17" s="1"/>
  <c r="N286" i="17"/>
  <c r="H282" i="17"/>
  <c r="H284" i="17" s="1"/>
  <c r="H286" i="17"/>
  <c r="Q326" i="17"/>
  <c r="Q328" i="17" s="1"/>
  <c r="Q330" i="17"/>
  <c r="F326" i="17"/>
  <c r="F328" i="17" s="1"/>
  <c r="F330" i="17"/>
  <c r="D326" i="17"/>
  <c r="D328" i="17" s="1"/>
  <c r="D330" i="17"/>
  <c r="H62" i="17"/>
  <c r="H64" i="17" s="1"/>
  <c r="H66" i="17"/>
  <c r="Q62" i="17"/>
  <c r="Q64" i="17" s="1"/>
  <c r="Q66" i="17"/>
  <c r="O62" i="17"/>
  <c r="O64" i="17" s="1"/>
  <c r="O66" i="17"/>
  <c r="F414" i="17"/>
  <c r="F416" i="17" s="1"/>
  <c r="F418" i="17"/>
  <c r="Q414" i="17"/>
  <c r="Q416" i="17" s="1"/>
  <c r="Q418" i="17"/>
  <c r="D414" i="17"/>
  <c r="D416" i="17" s="1"/>
  <c r="D418" i="17"/>
  <c r="S374" i="17"/>
  <c r="S370" i="17"/>
  <c r="S372" i="17" s="1"/>
  <c r="G374" i="17"/>
  <c r="G370" i="17"/>
  <c r="G372" i="17" s="1"/>
  <c r="O374" i="17"/>
  <c r="O370" i="17"/>
  <c r="O372" i="17" s="1"/>
  <c r="T18" i="17"/>
  <c r="T20" i="17" s="1"/>
  <c r="T22" i="17"/>
  <c r="P18" i="17"/>
  <c r="P20" i="17" s="1"/>
  <c r="P22" i="17"/>
  <c r="S18" i="17"/>
  <c r="S20" i="17" s="1"/>
  <c r="S22" i="17"/>
  <c r="F19" i="36"/>
  <c r="F20" i="36"/>
  <c r="F23" i="19"/>
  <c r="F21" i="36" s="1"/>
  <c r="F10" i="23"/>
  <c r="F19" i="23" s="1"/>
  <c r="K282" i="17"/>
  <c r="K284" i="17" s="1"/>
  <c r="K286" i="17"/>
  <c r="U282" i="17"/>
  <c r="U284" i="17" s="1"/>
  <c r="U286" i="17"/>
  <c r="Q282" i="17"/>
  <c r="Q284" i="17" s="1"/>
  <c r="Q286" i="17"/>
  <c r="I326" i="17"/>
  <c r="I328" i="17" s="1"/>
  <c r="I330" i="17"/>
  <c r="T326" i="17"/>
  <c r="T328" i="17" s="1"/>
  <c r="T330" i="17"/>
  <c r="K326" i="17"/>
  <c r="K328" i="17" s="1"/>
  <c r="K330" i="17"/>
  <c r="P62" i="17"/>
  <c r="P64" i="17" s="1"/>
  <c r="P66" i="17"/>
  <c r="V62" i="17"/>
  <c r="V64" i="17" s="1"/>
  <c r="V66" i="17"/>
  <c r="U62" i="17"/>
  <c r="U64" i="17" s="1"/>
  <c r="U66" i="17"/>
  <c r="T414" i="17"/>
  <c r="T416" i="17" s="1"/>
  <c r="T418" i="17"/>
  <c r="P414" i="17"/>
  <c r="P416" i="17" s="1"/>
  <c r="P418" i="17"/>
  <c r="T374" i="17"/>
  <c r="T370" i="17"/>
  <c r="T372" i="17" s="1"/>
  <c r="Q374" i="17"/>
  <c r="Q370" i="17"/>
  <c r="Q372" i="17" s="1"/>
  <c r="L370" i="17"/>
  <c r="L372" i="17" s="1"/>
  <c r="L374" i="17"/>
  <c r="F18" i="17"/>
  <c r="F20" i="17" s="1"/>
  <c r="F22" i="17"/>
  <c r="J18" i="17"/>
  <c r="J20" i="17" s="1"/>
  <c r="J22" i="17"/>
  <c r="R282" i="17"/>
  <c r="R284" i="17" s="1"/>
  <c r="R286" i="17"/>
  <c r="O282" i="17"/>
  <c r="O284" i="17" s="1"/>
  <c r="O286" i="17"/>
  <c r="G19" i="36"/>
  <c r="G10" i="23"/>
  <c r="G19" i="23" s="1"/>
  <c r="G20" i="36"/>
  <c r="L326" i="17"/>
  <c r="L328" i="17" s="1"/>
  <c r="L330" i="17"/>
  <c r="N326" i="17"/>
  <c r="N328" i="17" s="1"/>
  <c r="N330" i="17"/>
  <c r="K62" i="17"/>
  <c r="K64" i="17" s="1"/>
  <c r="K66" i="17"/>
  <c r="T62" i="17"/>
  <c r="T64" i="17" s="1"/>
  <c r="T66" i="17"/>
  <c r="W62" i="17"/>
  <c r="W64" i="17" s="1"/>
  <c r="W66" i="17"/>
  <c r="V414" i="17"/>
  <c r="V416" i="17" s="1"/>
  <c r="V418" i="17"/>
  <c r="U414" i="17"/>
  <c r="U416" i="17" s="1"/>
  <c r="U418" i="17"/>
  <c r="M370" i="17"/>
  <c r="M372" i="17" s="1"/>
  <c r="M374" i="17"/>
  <c r="F370" i="17"/>
  <c r="F372" i="17" s="1"/>
  <c r="F374" i="17"/>
  <c r="K370" i="17"/>
  <c r="K372" i="17" s="1"/>
  <c r="K374" i="17"/>
  <c r="C10" i="23"/>
  <c r="C19" i="23" s="1"/>
  <c r="C20" i="36"/>
  <c r="C19" i="36"/>
  <c r="U18" i="17"/>
  <c r="U20" i="17" s="1"/>
  <c r="U22" i="17"/>
  <c r="E18" i="17"/>
  <c r="E20" i="17" s="1"/>
  <c r="E22" i="17"/>
  <c r="S282" i="17"/>
  <c r="S284" i="17" s="1"/>
  <c r="S286" i="17"/>
  <c r="V282" i="17"/>
  <c r="V284" i="17" s="1"/>
  <c r="V286" i="17"/>
  <c r="J282" i="17"/>
  <c r="J284" i="17" s="1"/>
  <c r="J286" i="17"/>
  <c r="S326" i="17"/>
  <c r="S328" i="17" s="1"/>
  <c r="S330" i="17"/>
  <c r="P326" i="17"/>
  <c r="P328" i="17" s="1"/>
  <c r="P330" i="17"/>
  <c r="J62" i="17"/>
  <c r="J64" i="17" s="1"/>
  <c r="J66" i="17"/>
  <c r="E62" i="17"/>
  <c r="E64" i="17" s="1"/>
  <c r="E66" i="17"/>
  <c r="N414" i="17"/>
  <c r="N416" i="17" s="1"/>
  <c r="N418" i="17"/>
  <c r="H414" i="17"/>
  <c r="H416" i="17" s="1"/>
  <c r="H418" i="17"/>
  <c r="H370" i="17"/>
  <c r="H372" i="17" s="1"/>
  <c r="H374" i="17"/>
  <c r="W18" i="17"/>
  <c r="W20" i="17" s="1"/>
  <c r="W22" i="17"/>
  <c r="I18" i="17"/>
  <c r="I20" i="17" s="1"/>
  <c r="I22" i="17"/>
  <c r="L282" i="17"/>
  <c r="L284" i="17" s="1"/>
  <c r="L286" i="17"/>
  <c r="D282" i="17"/>
  <c r="D284" i="17" s="1"/>
  <c r="D286" i="17"/>
  <c r="J326" i="17"/>
  <c r="J328" i="17" s="1"/>
  <c r="J330" i="17"/>
  <c r="G326" i="17"/>
  <c r="G328" i="17" s="1"/>
  <c r="G330" i="17"/>
  <c r="G37" i="16"/>
  <c r="F62" i="17"/>
  <c r="F64" i="17" s="1"/>
  <c r="F66" i="17"/>
  <c r="G62" i="17"/>
  <c r="G64" i="17" s="1"/>
  <c r="G66" i="17"/>
  <c r="E414" i="17"/>
  <c r="E416" i="17" s="1"/>
  <c r="E418" i="17"/>
  <c r="K414" i="17"/>
  <c r="K416" i="17" s="1"/>
  <c r="K418" i="17"/>
  <c r="V370" i="17"/>
  <c r="V372" i="17" s="1"/>
  <c r="V374" i="17"/>
  <c r="R370" i="17"/>
  <c r="R372" i="17" s="1"/>
  <c r="R374" i="17"/>
  <c r="Q48" i="16"/>
  <c r="D18" i="17"/>
  <c r="D20" i="17" s="1"/>
  <c r="D22" i="17"/>
  <c r="M18" i="17"/>
  <c r="M20" i="17" s="1"/>
  <c r="M22" i="17"/>
  <c r="F282" i="17"/>
  <c r="F284" i="17" s="1"/>
  <c r="F286" i="17"/>
  <c r="T282" i="17"/>
  <c r="T284" i="17" s="1"/>
  <c r="T286" i="17"/>
  <c r="U326" i="17"/>
  <c r="U328" i="17" s="1"/>
  <c r="U330" i="17"/>
  <c r="E326" i="17"/>
  <c r="E328" i="17" s="1"/>
  <c r="E330" i="17"/>
  <c r="D62" i="17"/>
  <c r="D64" i="17" s="1"/>
  <c r="D66" i="17"/>
  <c r="S62" i="17"/>
  <c r="S64" i="17" s="1"/>
  <c r="S66" i="17"/>
  <c r="G414" i="17"/>
  <c r="G416" i="17" s="1"/>
  <c r="G418" i="17"/>
  <c r="W414" i="17"/>
  <c r="W416" i="17" s="1"/>
  <c r="W418" i="17"/>
  <c r="I414" i="17"/>
  <c r="I416" i="17" s="1"/>
  <c r="I418" i="17"/>
  <c r="U370" i="17"/>
  <c r="U372" i="17" s="1"/>
  <c r="U374" i="17"/>
  <c r="D374" i="17"/>
  <c r="D370" i="17"/>
  <c r="D372" i="17" s="1"/>
  <c r="L18" i="17"/>
  <c r="L20" i="17" s="1"/>
  <c r="L22" i="17"/>
  <c r="H18" i="17"/>
  <c r="H20" i="17" s="1"/>
  <c r="H22" i="17"/>
  <c r="K18" i="17"/>
  <c r="K20" i="17" s="1"/>
  <c r="K22" i="17"/>
  <c r="M282" i="17"/>
  <c r="M284" i="17" s="1"/>
  <c r="M286" i="17"/>
  <c r="I282" i="17"/>
  <c r="I284" i="17" s="1"/>
  <c r="I286" i="17"/>
  <c r="V326" i="17"/>
  <c r="V328" i="17" s="1"/>
  <c r="V330" i="17"/>
  <c r="H326" i="17"/>
  <c r="H328" i="17" s="1"/>
  <c r="H330" i="17"/>
  <c r="W326" i="17"/>
  <c r="W328" i="17" s="1"/>
  <c r="W330" i="17"/>
  <c r="I62" i="17"/>
  <c r="I64" i="17" s="1"/>
  <c r="I66" i="17"/>
  <c r="R62" i="17"/>
  <c r="R64" i="17" s="1"/>
  <c r="R66" i="17"/>
  <c r="L414" i="17"/>
  <c r="L416" i="17" s="1"/>
  <c r="L418" i="17"/>
  <c r="O414" i="17"/>
  <c r="O416" i="17" s="1"/>
  <c r="O418" i="17"/>
  <c r="S414" i="17"/>
  <c r="S416" i="17" s="1"/>
  <c r="S418" i="17"/>
  <c r="P370" i="17"/>
  <c r="P372" i="17" s="1"/>
  <c r="P374" i="17"/>
  <c r="N374" i="17"/>
  <c r="N370" i="17"/>
  <c r="N372" i="17" s="1"/>
  <c r="W370" i="17"/>
  <c r="W372" i="17" s="1"/>
  <c r="W374" i="17"/>
  <c r="G18" i="17"/>
  <c r="G20" i="17" s="1"/>
  <c r="G22" i="17"/>
  <c r="O18" i="17"/>
  <c r="O20" i="17" s="1"/>
  <c r="O22" i="17"/>
  <c r="Q18" i="17"/>
  <c r="Q20" i="17" s="1"/>
  <c r="Q22" i="17"/>
  <c r="E282" i="17"/>
  <c r="E284" i="17" s="1"/>
  <c r="E286" i="17"/>
  <c r="P282" i="17"/>
  <c r="P284" i="17" s="1"/>
  <c r="P286" i="17"/>
  <c r="G282" i="17"/>
  <c r="G284" i="17" s="1"/>
  <c r="G286" i="17"/>
  <c r="R326" i="17"/>
  <c r="R328" i="17" s="1"/>
  <c r="R330" i="17"/>
  <c r="M326" i="17"/>
  <c r="M328" i="17" s="1"/>
  <c r="M330" i="17"/>
  <c r="O326" i="17"/>
  <c r="O328" i="17" s="1"/>
  <c r="O330" i="17"/>
  <c r="C644" i="17"/>
  <c r="G675" i="17" s="1"/>
  <c r="G14" i="26" s="1"/>
  <c r="D25" i="26" s="1"/>
  <c r="C468" i="17"/>
  <c r="G671" i="17" s="1"/>
  <c r="C14" i="26" s="1"/>
  <c r="D21" i="26" s="1"/>
  <c r="B7" i="24"/>
  <c r="C10" i="36"/>
  <c r="C19" i="20"/>
  <c r="C21" i="20"/>
  <c r="C22" i="20"/>
  <c r="C17" i="16"/>
  <c r="E6" i="36"/>
  <c r="C12" i="36" s="1"/>
  <c r="C512" i="17"/>
  <c r="G672" i="17" s="1"/>
  <c r="D14" i="26" s="1"/>
  <c r="D22" i="26" s="1"/>
  <c r="C600" i="17"/>
  <c r="G674" i="17" s="1"/>
  <c r="F14" i="26" s="1"/>
  <c r="G23" i="20"/>
  <c r="E19" i="20"/>
  <c r="E23" i="20"/>
  <c r="E21" i="20"/>
  <c r="D19" i="20"/>
  <c r="F21" i="20"/>
  <c r="C556" i="17"/>
  <c r="G673" i="17" s="1"/>
  <c r="E14" i="26" s="1"/>
  <c r="D23" i="26" s="1"/>
  <c r="G19" i="20"/>
  <c r="D22" i="20"/>
  <c r="E22" i="20"/>
  <c r="D20" i="20"/>
  <c r="G22" i="20"/>
  <c r="F23" i="20"/>
  <c r="G20" i="20"/>
  <c r="G21" i="20"/>
  <c r="D21" i="20"/>
  <c r="C23" i="20"/>
  <c r="F19" i="20"/>
  <c r="F20" i="20"/>
  <c r="F22" i="20"/>
  <c r="E20" i="20"/>
  <c r="D23" i="20"/>
  <c r="C16" i="20"/>
  <c r="C161" i="17"/>
  <c r="C117" i="17"/>
  <c r="F111" i="17"/>
  <c r="F112" i="17" s="1"/>
  <c r="F113" i="17" s="1"/>
  <c r="J155" i="17"/>
  <c r="J156" i="17" s="1"/>
  <c r="J157" i="17" s="1"/>
  <c r="N155" i="17"/>
  <c r="N156" i="17" s="1"/>
  <c r="N157" i="17" s="1"/>
  <c r="I15" i="24"/>
  <c r="L36" i="16"/>
  <c r="K56" i="16"/>
  <c r="K49" i="16"/>
  <c r="K50" i="16"/>
  <c r="K53" i="16"/>
  <c r="K51" i="16"/>
  <c r="E111" i="17"/>
  <c r="E112" i="17" s="1"/>
  <c r="E113" i="17" s="1"/>
  <c r="M155" i="17"/>
  <c r="M156" i="17" s="1"/>
  <c r="M157" i="17" s="1"/>
  <c r="U155" i="17"/>
  <c r="U156" i="17" s="1"/>
  <c r="U157" i="17" s="1"/>
  <c r="Q155" i="17"/>
  <c r="Q156" i="17" s="1"/>
  <c r="Q157" i="17" s="1"/>
  <c r="U17" i="15" l="1"/>
  <c r="E37" i="16"/>
  <c r="K48" i="16"/>
  <c r="J17" i="15"/>
  <c r="W17" i="15"/>
  <c r="R48" i="16"/>
  <c r="G17" i="15"/>
  <c r="D29" i="20"/>
  <c r="G27" i="20"/>
  <c r="H48" i="16"/>
  <c r="D17" i="15"/>
  <c r="P48" i="16"/>
  <c r="F39" i="16"/>
  <c r="J37" i="16"/>
  <c r="J38" i="16" s="1"/>
  <c r="J41" i="16" s="1"/>
  <c r="L17" i="15"/>
  <c r="M17" i="15"/>
  <c r="O48" i="16"/>
  <c r="N75" i="20"/>
  <c r="F17" i="15"/>
  <c r="D39" i="16"/>
  <c r="H37" i="16"/>
  <c r="H42" i="16" s="1"/>
  <c r="T17" i="15"/>
  <c r="E17" i="15"/>
  <c r="C31" i="20"/>
  <c r="D30" i="20"/>
  <c r="G31" i="20"/>
  <c r="V48" i="16"/>
  <c r="C28" i="20"/>
  <c r="C44" i="20"/>
  <c r="G29" i="20"/>
  <c r="D31" i="20"/>
  <c r="G28" i="20"/>
  <c r="F29" i="20"/>
  <c r="K75" i="20"/>
  <c r="S48" i="16"/>
  <c r="I48" i="16"/>
  <c r="F27" i="20"/>
  <c r="E30" i="20"/>
  <c r="E27" i="20"/>
  <c r="C27" i="20"/>
  <c r="E28" i="20"/>
  <c r="F31" i="20"/>
  <c r="D27" i="20"/>
  <c r="F30" i="20"/>
  <c r="E29" i="20"/>
  <c r="C11" i="31"/>
  <c r="G30" i="20"/>
  <c r="C30" i="20"/>
  <c r="F28" i="20"/>
  <c r="D28" i="20"/>
  <c r="E31" i="20"/>
  <c r="C29" i="20"/>
  <c r="D75" i="20"/>
  <c r="D81" i="20" s="1"/>
  <c r="O75" i="20"/>
  <c r="F75" i="20"/>
  <c r="D79" i="20" s="1"/>
  <c r="M75" i="20"/>
  <c r="G75" i="20"/>
  <c r="C80" i="20" s="1"/>
  <c r="L75" i="20"/>
  <c r="J75" i="20"/>
  <c r="E75" i="20"/>
  <c r="H75" i="20"/>
  <c r="I75" i="20"/>
  <c r="C81" i="20" s="1"/>
  <c r="I39" i="16"/>
  <c r="I37" i="16"/>
  <c r="O202" i="17"/>
  <c r="O197" i="17"/>
  <c r="O199" i="17" s="1"/>
  <c r="O200" i="17" s="1"/>
  <c r="O201" i="17" s="1"/>
  <c r="H246" i="17"/>
  <c r="H241" i="17"/>
  <c r="H243" i="17" s="1"/>
  <c r="H244" i="17" s="1"/>
  <c r="H245" i="17" s="1"/>
  <c r="S202" i="17"/>
  <c r="S197" i="17"/>
  <c r="S199" i="17" s="1"/>
  <c r="S200" i="17" s="1"/>
  <c r="S201" i="17" s="1"/>
  <c r="D202" i="17"/>
  <c r="D197" i="17"/>
  <c r="D199" i="17" s="1"/>
  <c r="D200" i="17" s="1"/>
  <c r="D201" i="17" s="1"/>
  <c r="J241" i="17"/>
  <c r="J243" i="17" s="1"/>
  <c r="J244" i="17" s="1"/>
  <c r="J245" i="17" s="1"/>
  <c r="J246" i="17"/>
  <c r="U197" i="17"/>
  <c r="U199" i="17" s="1"/>
  <c r="U200" i="17" s="1"/>
  <c r="U201" i="17" s="1"/>
  <c r="U202" i="17"/>
  <c r="V241" i="17"/>
  <c r="V243" i="17" s="1"/>
  <c r="V244" i="17" s="1"/>
  <c r="V245" i="17" s="1"/>
  <c r="V246" i="17"/>
  <c r="T246" i="17"/>
  <c r="T241" i="17"/>
  <c r="T243" i="17" s="1"/>
  <c r="T244" i="17" s="1"/>
  <c r="T245" i="17" s="1"/>
  <c r="V202" i="17"/>
  <c r="V197" i="17"/>
  <c r="V199" i="17" s="1"/>
  <c r="V200" i="17" s="1"/>
  <c r="V201" i="17" s="1"/>
  <c r="M241" i="17"/>
  <c r="M243" i="17" s="1"/>
  <c r="M244" i="17" s="1"/>
  <c r="M245" i="17" s="1"/>
  <c r="M246" i="17"/>
  <c r="M202" i="17"/>
  <c r="M197" i="17"/>
  <c r="M199" i="17" s="1"/>
  <c r="M200" i="17" s="1"/>
  <c r="M201" i="17" s="1"/>
  <c r="Q202" i="17"/>
  <c r="Q197" i="17"/>
  <c r="Q199" i="17" s="1"/>
  <c r="Q200" i="17" s="1"/>
  <c r="Q201" i="17" s="1"/>
  <c r="P246" i="17"/>
  <c r="P241" i="17"/>
  <c r="P243" i="17" s="1"/>
  <c r="P244" i="17" s="1"/>
  <c r="P245" i="17" s="1"/>
  <c r="K246" i="17"/>
  <c r="K241" i="17"/>
  <c r="K243" i="17" s="1"/>
  <c r="K244" i="17" s="1"/>
  <c r="K245" i="17" s="1"/>
  <c r="H202" i="17"/>
  <c r="H197" i="17"/>
  <c r="H199" i="17" s="1"/>
  <c r="H200" i="17" s="1"/>
  <c r="H201" i="17" s="1"/>
  <c r="L246" i="17"/>
  <c r="L241" i="17"/>
  <c r="L243" i="17" s="1"/>
  <c r="L244" i="17" s="1"/>
  <c r="L245" i="17" s="1"/>
  <c r="D246" i="17"/>
  <c r="D241" i="17"/>
  <c r="D243" i="17" s="1"/>
  <c r="D244" i="17" s="1"/>
  <c r="D245" i="17" s="1"/>
  <c r="I202" i="17"/>
  <c r="I197" i="17"/>
  <c r="I199" i="17" s="1"/>
  <c r="I200" i="17" s="1"/>
  <c r="I201" i="17" s="1"/>
  <c r="G202" i="17"/>
  <c r="G197" i="17"/>
  <c r="G199" i="17" s="1"/>
  <c r="G200" i="17" s="1"/>
  <c r="G201" i="17" s="1"/>
  <c r="Q246" i="17"/>
  <c r="Q241" i="17"/>
  <c r="Q243" i="17" s="1"/>
  <c r="Q244" i="17" s="1"/>
  <c r="Q245" i="17" s="1"/>
  <c r="F241" i="17"/>
  <c r="F243" i="17" s="1"/>
  <c r="F244" i="17" s="1"/>
  <c r="F245" i="17" s="1"/>
  <c r="F246" i="17"/>
  <c r="P202" i="17"/>
  <c r="P197" i="17"/>
  <c r="P199" i="17" s="1"/>
  <c r="P200" i="17" s="1"/>
  <c r="P201" i="17" s="1"/>
  <c r="L202" i="17"/>
  <c r="L197" i="17"/>
  <c r="L199" i="17" s="1"/>
  <c r="L200" i="17" s="1"/>
  <c r="L201" i="17" s="1"/>
  <c r="T202" i="17"/>
  <c r="T197" i="17"/>
  <c r="T199" i="17" s="1"/>
  <c r="T200" i="17" s="1"/>
  <c r="T201" i="17" s="1"/>
  <c r="O246" i="17"/>
  <c r="O241" i="17"/>
  <c r="O243" i="17" s="1"/>
  <c r="O244" i="17" s="1"/>
  <c r="O245" i="17" s="1"/>
  <c r="W202" i="17"/>
  <c r="W197" i="17"/>
  <c r="W199" i="17" s="1"/>
  <c r="W200" i="17" s="1"/>
  <c r="W201" i="17" s="1"/>
  <c r="K197" i="17"/>
  <c r="K199" i="17" s="1"/>
  <c r="K200" i="17" s="1"/>
  <c r="K201" i="17" s="1"/>
  <c r="K202" i="17"/>
  <c r="E241" i="17"/>
  <c r="E243" i="17" s="1"/>
  <c r="E244" i="17" s="1"/>
  <c r="E245" i="17" s="1"/>
  <c r="E246" i="17"/>
  <c r="F202" i="17"/>
  <c r="F197" i="17"/>
  <c r="F199" i="17" s="1"/>
  <c r="F200" i="17" s="1"/>
  <c r="F201" i="17" s="1"/>
  <c r="J197" i="17"/>
  <c r="J199" i="17" s="1"/>
  <c r="J200" i="17" s="1"/>
  <c r="J201" i="17" s="1"/>
  <c r="J202" i="17"/>
  <c r="E22" i="36"/>
  <c r="E23" i="36"/>
  <c r="N197" i="17"/>
  <c r="N199" i="17" s="1"/>
  <c r="N200" i="17" s="1"/>
  <c r="N201" i="17" s="1"/>
  <c r="N202" i="17"/>
  <c r="W246" i="17"/>
  <c r="W241" i="17"/>
  <c r="W243" i="17" s="1"/>
  <c r="W244" i="17" s="1"/>
  <c r="W245" i="17" s="1"/>
  <c r="R197" i="17"/>
  <c r="R199" i="17" s="1"/>
  <c r="R200" i="17" s="1"/>
  <c r="R201" i="17" s="1"/>
  <c r="R202" i="17"/>
  <c r="U246" i="17"/>
  <c r="U241" i="17"/>
  <c r="U243" i="17" s="1"/>
  <c r="U244" i="17" s="1"/>
  <c r="U245" i="17" s="1"/>
  <c r="S246" i="17"/>
  <c r="S241" i="17"/>
  <c r="S243" i="17" s="1"/>
  <c r="S244" i="17" s="1"/>
  <c r="S245" i="17" s="1"/>
  <c r="E197" i="17"/>
  <c r="E199" i="17" s="1"/>
  <c r="E200" i="17" s="1"/>
  <c r="E201" i="17" s="1"/>
  <c r="E202" i="17"/>
  <c r="G246" i="17"/>
  <c r="G241" i="17"/>
  <c r="G243" i="17" s="1"/>
  <c r="G244" i="17" s="1"/>
  <c r="G245" i="17" s="1"/>
  <c r="R246" i="17"/>
  <c r="R241" i="17"/>
  <c r="R243" i="17" s="1"/>
  <c r="R244" i="17" s="1"/>
  <c r="R245" i="17" s="1"/>
  <c r="I241" i="17"/>
  <c r="I243" i="17" s="1"/>
  <c r="I244" i="17" s="1"/>
  <c r="I245" i="17" s="1"/>
  <c r="I246" i="17"/>
  <c r="N241" i="17"/>
  <c r="N243" i="17" s="1"/>
  <c r="N244" i="17" s="1"/>
  <c r="N245" i="17" s="1"/>
  <c r="N246" i="17"/>
  <c r="R334" i="17"/>
  <c r="R329" i="17"/>
  <c r="R331" i="17" s="1"/>
  <c r="R332" i="17" s="1"/>
  <c r="R333" i="17" s="1"/>
  <c r="W334" i="17"/>
  <c r="W329" i="17"/>
  <c r="W331" i="17" s="1"/>
  <c r="W332" i="17" s="1"/>
  <c r="W333" i="17" s="1"/>
  <c r="V422" i="17"/>
  <c r="V417" i="17"/>
  <c r="V419" i="17" s="1"/>
  <c r="V420" i="17" s="1"/>
  <c r="V421" i="17" s="1"/>
  <c r="N334" i="17"/>
  <c r="N329" i="17"/>
  <c r="N331" i="17" s="1"/>
  <c r="N332" i="17" s="1"/>
  <c r="N333" i="17" s="1"/>
  <c r="R70" i="17"/>
  <c r="R65" i="17"/>
  <c r="R67" i="17" s="1"/>
  <c r="R68" i="17" s="1"/>
  <c r="R69" i="17" s="1"/>
  <c r="U334" i="17"/>
  <c r="U329" i="17"/>
  <c r="U331" i="17" s="1"/>
  <c r="U332" i="17" s="1"/>
  <c r="U333" i="17" s="1"/>
  <c r="O334" i="17"/>
  <c r="O329" i="17"/>
  <c r="O331" i="17" s="1"/>
  <c r="O332" i="17" s="1"/>
  <c r="O333" i="17" s="1"/>
  <c r="H334" i="17"/>
  <c r="H329" i="17"/>
  <c r="H331" i="17" s="1"/>
  <c r="H332" i="17" s="1"/>
  <c r="H333" i="17" s="1"/>
  <c r="L26" i="17"/>
  <c r="L21" i="17"/>
  <c r="L23" i="17" s="1"/>
  <c r="L24" i="17" s="1"/>
  <c r="L25" i="17" s="1"/>
  <c r="I422" i="17"/>
  <c r="I417" i="17"/>
  <c r="I419" i="17" s="1"/>
  <c r="I420" i="17" s="1"/>
  <c r="I421" i="17" s="1"/>
  <c r="D70" i="17"/>
  <c r="D65" i="17"/>
  <c r="D67" i="17" s="1"/>
  <c r="D68" i="17" s="1"/>
  <c r="D69" i="17" s="1"/>
  <c r="P334" i="17"/>
  <c r="P329" i="17"/>
  <c r="P331" i="17" s="1"/>
  <c r="P332" i="17" s="1"/>
  <c r="P333" i="17" s="1"/>
  <c r="E70" i="17"/>
  <c r="E65" i="17"/>
  <c r="E67" i="17" s="1"/>
  <c r="E68" i="17" s="1"/>
  <c r="E69" i="17" s="1"/>
  <c r="J290" i="17"/>
  <c r="J285" i="17"/>
  <c r="J287" i="17" s="1"/>
  <c r="J288" i="17" s="1"/>
  <c r="J289" i="17" s="1"/>
  <c r="U26" i="17"/>
  <c r="U21" i="17"/>
  <c r="U23" i="17" s="1"/>
  <c r="U24" i="17" s="1"/>
  <c r="U25" i="17" s="1"/>
  <c r="J26" i="17"/>
  <c r="J21" i="17"/>
  <c r="J23" i="17" s="1"/>
  <c r="J24" i="17" s="1"/>
  <c r="J25" i="17" s="1"/>
  <c r="T26" i="17"/>
  <c r="T21" i="17"/>
  <c r="T23" i="17" s="1"/>
  <c r="T24" i="17" s="1"/>
  <c r="T25" i="17" s="1"/>
  <c r="G378" i="17"/>
  <c r="G373" i="17"/>
  <c r="G375" i="17" s="1"/>
  <c r="G376" i="17" s="1"/>
  <c r="G377" i="17" s="1"/>
  <c r="N26" i="17"/>
  <c r="N21" i="17"/>
  <c r="N23" i="17" s="1"/>
  <c r="N24" i="17" s="1"/>
  <c r="N25" i="17" s="1"/>
  <c r="Q26" i="17"/>
  <c r="Q21" i="17"/>
  <c r="Q23" i="17" s="1"/>
  <c r="Q24" i="17" s="1"/>
  <c r="Q25" i="17" s="1"/>
  <c r="P378" i="17"/>
  <c r="P373" i="17"/>
  <c r="P375" i="17" s="1"/>
  <c r="P376" i="17" s="1"/>
  <c r="P377" i="17" s="1"/>
  <c r="M290" i="17"/>
  <c r="M285" i="17"/>
  <c r="M287" i="17" s="1"/>
  <c r="M288" i="17" s="1"/>
  <c r="M289" i="17" s="1"/>
  <c r="D378" i="17"/>
  <c r="D373" i="17"/>
  <c r="D375" i="17" s="1"/>
  <c r="D376" i="17" s="1"/>
  <c r="D377" i="17" s="1"/>
  <c r="E334" i="17"/>
  <c r="E329" i="17"/>
  <c r="E331" i="17" s="1"/>
  <c r="E332" i="17" s="1"/>
  <c r="E333" i="17" s="1"/>
  <c r="F290" i="17"/>
  <c r="F285" i="17"/>
  <c r="F287" i="17" s="1"/>
  <c r="F288" i="17" s="1"/>
  <c r="F289" i="17" s="1"/>
  <c r="V378" i="17"/>
  <c r="V373" i="17"/>
  <c r="V375" i="17" s="1"/>
  <c r="V376" i="17" s="1"/>
  <c r="V377" i="17" s="1"/>
  <c r="G70" i="17"/>
  <c r="G65" i="17"/>
  <c r="G67" i="17" s="1"/>
  <c r="G68" i="17" s="1"/>
  <c r="G69" i="17" s="1"/>
  <c r="D290" i="17"/>
  <c r="D285" i="17"/>
  <c r="D287" i="17" s="1"/>
  <c r="D288" i="17" s="1"/>
  <c r="D289" i="17" s="1"/>
  <c r="Q70" i="17"/>
  <c r="Q65" i="17"/>
  <c r="Q67" i="17" s="1"/>
  <c r="Q68" i="17" s="1"/>
  <c r="Q69" i="17" s="1"/>
  <c r="T334" i="17"/>
  <c r="T329" i="17"/>
  <c r="T331" i="17" s="1"/>
  <c r="T332" i="17" s="1"/>
  <c r="T333" i="17" s="1"/>
  <c r="U422" i="17"/>
  <c r="U417" i="17"/>
  <c r="U419" i="17" s="1"/>
  <c r="U420" i="17" s="1"/>
  <c r="U421" i="17" s="1"/>
  <c r="K70" i="17"/>
  <c r="K65" i="17"/>
  <c r="K67" i="17" s="1"/>
  <c r="K68" i="17" s="1"/>
  <c r="K69" i="17" s="1"/>
  <c r="P422" i="17"/>
  <c r="P417" i="17"/>
  <c r="P419" i="17" s="1"/>
  <c r="P420" i="17" s="1"/>
  <c r="P421" i="17" s="1"/>
  <c r="P70" i="17"/>
  <c r="P65" i="17"/>
  <c r="P67" i="17" s="1"/>
  <c r="P68" i="17" s="1"/>
  <c r="P69" i="17" s="1"/>
  <c r="F22" i="36"/>
  <c r="F23" i="36"/>
  <c r="Q334" i="17"/>
  <c r="Q329" i="17"/>
  <c r="Q331" i="17" s="1"/>
  <c r="Q332" i="17" s="1"/>
  <c r="Q333" i="17" s="1"/>
  <c r="F422" i="17"/>
  <c r="F417" i="17"/>
  <c r="F419" i="17" s="1"/>
  <c r="F420" i="17" s="1"/>
  <c r="F421" i="17" s="1"/>
  <c r="D38" i="16"/>
  <c r="D41" i="16" s="1"/>
  <c r="D44" i="16"/>
  <c r="D42" i="16"/>
  <c r="E373" i="17"/>
  <c r="E375" i="17" s="1"/>
  <c r="E376" i="17" s="1"/>
  <c r="E377" i="17" s="1"/>
  <c r="E378" i="17"/>
  <c r="M70" i="17"/>
  <c r="M65" i="17"/>
  <c r="M67" i="17" s="1"/>
  <c r="M68" i="17" s="1"/>
  <c r="M69" i="17" s="1"/>
  <c r="M334" i="17"/>
  <c r="M329" i="17"/>
  <c r="M331" i="17" s="1"/>
  <c r="M332" i="17" s="1"/>
  <c r="M333" i="17" s="1"/>
  <c r="W422" i="17"/>
  <c r="W417" i="17"/>
  <c r="W419" i="17" s="1"/>
  <c r="W420" i="17" s="1"/>
  <c r="W421" i="17" s="1"/>
  <c r="I334" i="17"/>
  <c r="I329" i="17"/>
  <c r="I331" i="17" s="1"/>
  <c r="I332" i="17" s="1"/>
  <c r="I333" i="17" s="1"/>
  <c r="J70" i="17"/>
  <c r="J65" i="17"/>
  <c r="J67" i="17" s="1"/>
  <c r="J68" i="17" s="1"/>
  <c r="J69" i="17" s="1"/>
  <c r="V285" i="17"/>
  <c r="V287" i="17" s="1"/>
  <c r="V288" i="17" s="1"/>
  <c r="V289" i="17" s="1"/>
  <c r="V290" i="17"/>
  <c r="K378" i="17"/>
  <c r="K373" i="17"/>
  <c r="K375" i="17" s="1"/>
  <c r="K376" i="17" s="1"/>
  <c r="K377" i="17" s="1"/>
  <c r="O290" i="17"/>
  <c r="O285" i="17"/>
  <c r="O287" i="17" s="1"/>
  <c r="O288" i="17" s="1"/>
  <c r="O289" i="17" s="1"/>
  <c r="F26" i="17"/>
  <c r="F21" i="17"/>
  <c r="F23" i="17" s="1"/>
  <c r="F24" i="17" s="1"/>
  <c r="F25" i="17" s="1"/>
  <c r="F334" i="17"/>
  <c r="F329" i="17"/>
  <c r="F331" i="17" s="1"/>
  <c r="F332" i="17" s="1"/>
  <c r="F333" i="17" s="1"/>
  <c r="Q290" i="17"/>
  <c r="Q285" i="17"/>
  <c r="Q287" i="17" s="1"/>
  <c r="Q288" i="17" s="1"/>
  <c r="Q289" i="17" s="1"/>
  <c r="S378" i="17"/>
  <c r="S373" i="17"/>
  <c r="S375" i="17" s="1"/>
  <c r="S376" i="17" s="1"/>
  <c r="S377" i="17" s="1"/>
  <c r="L334" i="17"/>
  <c r="L329" i="17"/>
  <c r="L331" i="17" s="1"/>
  <c r="L332" i="17" s="1"/>
  <c r="L333" i="17" s="1"/>
  <c r="H290" i="17"/>
  <c r="H285" i="17"/>
  <c r="H287" i="17" s="1"/>
  <c r="H288" i="17" s="1"/>
  <c r="H289" i="17" s="1"/>
  <c r="V26" i="17"/>
  <c r="V21" i="17"/>
  <c r="V23" i="17" s="1"/>
  <c r="V24" i="17" s="1"/>
  <c r="V25" i="17" s="1"/>
  <c r="G290" i="17"/>
  <c r="G285" i="17"/>
  <c r="G287" i="17" s="1"/>
  <c r="G288" i="17" s="1"/>
  <c r="G289" i="17" s="1"/>
  <c r="D334" i="17"/>
  <c r="D329" i="17"/>
  <c r="D331" i="17" s="1"/>
  <c r="D332" i="17" s="1"/>
  <c r="D333" i="17" s="1"/>
  <c r="F70" i="17"/>
  <c r="F65" i="17"/>
  <c r="F67" i="17" s="1"/>
  <c r="F68" i="17" s="1"/>
  <c r="F69" i="17" s="1"/>
  <c r="L290" i="17"/>
  <c r="L285" i="17"/>
  <c r="L287" i="17" s="1"/>
  <c r="L288" i="17" s="1"/>
  <c r="L289" i="17" s="1"/>
  <c r="L378" i="17"/>
  <c r="L373" i="17"/>
  <c r="L375" i="17" s="1"/>
  <c r="L376" i="17" s="1"/>
  <c r="L377" i="17" s="1"/>
  <c r="O70" i="17"/>
  <c r="O65" i="17"/>
  <c r="O67" i="17" s="1"/>
  <c r="O68" i="17" s="1"/>
  <c r="O69" i="17" s="1"/>
  <c r="J422" i="17"/>
  <c r="J417" i="17"/>
  <c r="J419" i="17" s="1"/>
  <c r="J420" i="17" s="1"/>
  <c r="J421" i="17" s="1"/>
  <c r="N70" i="17"/>
  <c r="N65" i="17"/>
  <c r="N67" i="17" s="1"/>
  <c r="N68" i="17" s="1"/>
  <c r="N69" i="17" s="1"/>
  <c r="S422" i="17"/>
  <c r="S417" i="17"/>
  <c r="S419" i="17" s="1"/>
  <c r="S420" i="17" s="1"/>
  <c r="S421" i="17" s="1"/>
  <c r="I70" i="17"/>
  <c r="I65" i="17"/>
  <c r="I67" i="17" s="1"/>
  <c r="I68" i="17" s="1"/>
  <c r="I69" i="17" s="1"/>
  <c r="K26" i="17"/>
  <c r="K21" i="17"/>
  <c r="K23" i="17" s="1"/>
  <c r="K24" i="17" s="1"/>
  <c r="K25" i="17" s="1"/>
  <c r="U378" i="17"/>
  <c r="U373" i="17"/>
  <c r="U375" i="17" s="1"/>
  <c r="U376" i="17" s="1"/>
  <c r="U377" i="17" s="1"/>
  <c r="G422" i="17"/>
  <c r="G417" i="17"/>
  <c r="G419" i="17" s="1"/>
  <c r="G420" i="17" s="1"/>
  <c r="G421" i="17" s="1"/>
  <c r="M26" i="17"/>
  <c r="M21" i="17"/>
  <c r="M23" i="17" s="1"/>
  <c r="M24" i="17" s="1"/>
  <c r="M25" i="17" s="1"/>
  <c r="J334" i="17"/>
  <c r="J329" i="17"/>
  <c r="J331" i="17" s="1"/>
  <c r="J332" i="17" s="1"/>
  <c r="J333" i="17" s="1"/>
  <c r="H422" i="17"/>
  <c r="H417" i="17"/>
  <c r="H419" i="17" s="1"/>
  <c r="H420" i="17" s="1"/>
  <c r="H421" i="17" s="1"/>
  <c r="S290" i="17"/>
  <c r="S285" i="17"/>
  <c r="S287" i="17" s="1"/>
  <c r="S288" i="17" s="1"/>
  <c r="S289" i="17" s="1"/>
  <c r="F378" i="17"/>
  <c r="F373" i="17"/>
  <c r="F375" i="17" s="1"/>
  <c r="F376" i="17" s="1"/>
  <c r="F377" i="17" s="1"/>
  <c r="R290" i="17"/>
  <c r="R285" i="17"/>
  <c r="R287" i="17" s="1"/>
  <c r="R288" i="17" s="1"/>
  <c r="R289" i="17" s="1"/>
  <c r="Q373" i="17"/>
  <c r="Q375" i="17" s="1"/>
  <c r="Q376" i="17" s="1"/>
  <c r="Q377" i="17" s="1"/>
  <c r="Q378" i="17"/>
  <c r="K334" i="17"/>
  <c r="K329" i="17"/>
  <c r="K331" i="17" s="1"/>
  <c r="K332" i="17" s="1"/>
  <c r="K333" i="17" s="1"/>
  <c r="U290" i="17"/>
  <c r="U285" i="17"/>
  <c r="U287" i="17" s="1"/>
  <c r="U288" i="17" s="1"/>
  <c r="U289" i="17" s="1"/>
  <c r="S26" i="17"/>
  <c r="S21" i="17"/>
  <c r="S23" i="17" s="1"/>
  <c r="S24" i="17" s="1"/>
  <c r="S25" i="17" s="1"/>
  <c r="N290" i="17"/>
  <c r="N285" i="17"/>
  <c r="N287" i="17" s="1"/>
  <c r="N288" i="17" s="1"/>
  <c r="N289" i="17" s="1"/>
  <c r="R26" i="17"/>
  <c r="R21" i="17"/>
  <c r="R23" i="17" s="1"/>
  <c r="R24" i="17" s="1"/>
  <c r="R25" i="17" s="1"/>
  <c r="P285" i="17"/>
  <c r="P287" i="17" s="1"/>
  <c r="P288" i="17" s="1"/>
  <c r="P289" i="17" s="1"/>
  <c r="P290" i="17"/>
  <c r="G26" i="17"/>
  <c r="G21" i="17"/>
  <c r="G23" i="17" s="1"/>
  <c r="G24" i="17" s="1"/>
  <c r="G25" i="17" s="1"/>
  <c r="W378" i="17"/>
  <c r="W373" i="17"/>
  <c r="W375" i="17" s="1"/>
  <c r="W376" i="17" s="1"/>
  <c r="W377" i="17" s="1"/>
  <c r="O422" i="17"/>
  <c r="O417" i="17"/>
  <c r="O419" i="17" s="1"/>
  <c r="O420" i="17" s="1"/>
  <c r="O421" i="17" s="1"/>
  <c r="E38" i="16"/>
  <c r="E41" i="16" s="1"/>
  <c r="E44" i="16"/>
  <c r="E42" i="16"/>
  <c r="V334" i="17"/>
  <c r="V329" i="17"/>
  <c r="V331" i="17" s="1"/>
  <c r="V332" i="17" s="1"/>
  <c r="V333" i="17" s="1"/>
  <c r="T422" i="17"/>
  <c r="T417" i="17"/>
  <c r="T419" i="17" s="1"/>
  <c r="T420" i="17" s="1"/>
  <c r="T421" i="17" s="1"/>
  <c r="K422" i="17"/>
  <c r="K417" i="17"/>
  <c r="K419" i="17" s="1"/>
  <c r="K420" i="17" s="1"/>
  <c r="K421" i="17" s="1"/>
  <c r="F38" i="16"/>
  <c r="F41" i="16" s="1"/>
  <c r="F44" i="16"/>
  <c r="F42" i="16"/>
  <c r="I26" i="17"/>
  <c r="I21" i="17"/>
  <c r="I23" i="17" s="1"/>
  <c r="I24" i="17" s="1"/>
  <c r="I25" i="17" s="1"/>
  <c r="W70" i="17"/>
  <c r="W65" i="17"/>
  <c r="W67" i="17" s="1"/>
  <c r="W68" i="17" s="1"/>
  <c r="W69" i="17" s="1"/>
  <c r="U70" i="17"/>
  <c r="U65" i="17"/>
  <c r="U67" i="17" s="1"/>
  <c r="U68" i="17" s="1"/>
  <c r="U69" i="17" s="1"/>
  <c r="D422" i="17"/>
  <c r="D417" i="17"/>
  <c r="D419" i="17" s="1"/>
  <c r="D420" i="17" s="1"/>
  <c r="D421" i="17" s="1"/>
  <c r="J373" i="17"/>
  <c r="J375" i="17" s="1"/>
  <c r="J376" i="17" s="1"/>
  <c r="J377" i="17" s="1"/>
  <c r="J378" i="17"/>
  <c r="M422" i="17"/>
  <c r="M417" i="17"/>
  <c r="M419" i="17" s="1"/>
  <c r="M420" i="17" s="1"/>
  <c r="M421" i="17" s="1"/>
  <c r="L70" i="17"/>
  <c r="L65" i="17"/>
  <c r="L67" i="17" s="1"/>
  <c r="L68" i="17" s="1"/>
  <c r="L69" i="17" s="1"/>
  <c r="N373" i="17"/>
  <c r="N375" i="17" s="1"/>
  <c r="N376" i="17" s="1"/>
  <c r="N377" i="17" s="1"/>
  <c r="N378" i="17"/>
  <c r="H26" i="17"/>
  <c r="H21" i="17"/>
  <c r="H23" i="17" s="1"/>
  <c r="H24" i="17" s="1"/>
  <c r="H25" i="17" s="1"/>
  <c r="G334" i="17"/>
  <c r="G329" i="17"/>
  <c r="G331" i="17" s="1"/>
  <c r="G332" i="17" s="1"/>
  <c r="G333" i="17" s="1"/>
  <c r="S70" i="17"/>
  <c r="S65" i="17"/>
  <c r="S67" i="17" s="1"/>
  <c r="S68" i="17" s="1"/>
  <c r="S69" i="17" s="1"/>
  <c r="D26" i="17"/>
  <c r="D21" i="17"/>
  <c r="D23" i="17" s="1"/>
  <c r="D24" i="17" s="1"/>
  <c r="D25" i="17" s="1"/>
  <c r="H373" i="17"/>
  <c r="H375" i="17" s="1"/>
  <c r="H376" i="17" s="1"/>
  <c r="H377" i="17" s="1"/>
  <c r="H378" i="17"/>
  <c r="N422" i="17"/>
  <c r="N417" i="17"/>
  <c r="N419" i="17" s="1"/>
  <c r="N420" i="17" s="1"/>
  <c r="N421" i="17" s="1"/>
  <c r="S334" i="17"/>
  <c r="S329" i="17"/>
  <c r="S331" i="17" s="1"/>
  <c r="S332" i="17" s="1"/>
  <c r="S333" i="17" s="1"/>
  <c r="E26" i="17"/>
  <c r="E21" i="17"/>
  <c r="E23" i="17" s="1"/>
  <c r="E24" i="17" s="1"/>
  <c r="E25" i="17" s="1"/>
  <c r="M378" i="17"/>
  <c r="M373" i="17"/>
  <c r="M375" i="17" s="1"/>
  <c r="M376" i="17" s="1"/>
  <c r="M377" i="17" s="1"/>
  <c r="G23" i="36"/>
  <c r="G22" i="36"/>
  <c r="T378" i="17"/>
  <c r="T373" i="17"/>
  <c r="T375" i="17" s="1"/>
  <c r="T376" i="17" s="1"/>
  <c r="T377" i="17" s="1"/>
  <c r="K290" i="17"/>
  <c r="K285" i="17"/>
  <c r="K287" i="17" s="1"/>
  <c r="K288" i="17" s="1"/>
  <c r="K289" i="17" s="1"/>
  <c r="P26" i="17"/>
  <c r="P21" i="17"/>
  <c r="P23" i="17" s="1"/>
  <c r="P24" i="17" s="1"/>
  <c r="P25" i="17" s="1"/>
  <c r="O378" i="17"/>
  <c r="O373" i="17"/>
  <c r="O375" i="17" s="1"/>
  <c r="O376" i="17" s="1"/>
  <c r="O377" i="17" s="1"/>
  <c r="W290" i="17"/>
  <c r="W285" i="17"/>
  <c r="W287" i="17" s="1"/>
  <c r="W288" i="17" s="1"/>
  <c r="W289" i="17" s="1"/>
  <c r="I373" i="17"/>
  <c r="I375" i="17" s="1"/>
  <c r="I376" i="17" s="1"/>
  <c r="I377" i="17" s="1"/>
  <c r="I378" i="17"/>
  <c r="O26" i="17"/>
  <c r="O21" i="17"/>
  <c r="O23" i="17" s="1"/>
  <c r="O24" i="17" s="1"/>
  <c r="O25" i="17" s="1"/>
  <c r="E290" i="17"/>
  <c r="E285" i="17"/>
  <c r="E287" i="17" s="1"/>
  <c r="E288" i="17" s="1"/>
  <c r="E289" i="17" s="1"/>
  <c r="L422" i="17"/>
  <c r="L417" i="17"/>
  <c r="L419" i="17" s="1"/>
  <c r="L420" i="17" s="1"/>
  <c r="L421" i="17" s="1"/>
  <c r="I290" i="17"/>
  <c r="I285" i="17"/>
  <c r="I287" i="17" s="1"/>
  <c r="I288" i="17" s="1"/>
  <c r="I289" i="17" s="1"/>
  <c r="T290" i="17"/>
  <c r="T285" i="17"/>
  <c r="T287" i="17" s="1"/>
  <c r="T288" i="17" s="1"/>
  <c r="T289" i="17" s="1"/>
  <c r="R378" i="17"/>
  <c r="R373" i="17"/>
  <c r="R375" i="17" s="1"/>
  <c r="R376" i="17" s="1"/>
  <c r="R377" i="17" s="1"/>
  <c r="E422" i="17"/>
  <c r="E417" i="17"/>
  <c r="E419" i="17" s="1"/>
  <c r="E420" i="17" s="1"/>
  <c r="E421" i="17" s="1"/>
  <c r="G38" i="16"/>
  <c r="G41" i="16" s="1"/>
  <c r="G44" i="16"/>
  <c r="G42" i="16"/>
  <c r="W26" i="17"/>
  <c r="W21" i="17"/>
  <c r="W23" i="17" s="1"/>
  <c r="W24" i="17" s="1"/>
  <c r="W25" i="17" s="1"/>
  <c r="C23" i="36"/>
  <c r="C22" i="36"/>
  <c r="T70" i="17"/>
  <c r="T65" i="17"/>
  <c r="T67" i="17" s="1"/>
  <c r="T68" i="17" s="1"/>
  <c r="T69" i="17" s="1"/>
  <c r="V70" i="17"/>
  <c r="V65" i="17"/>
  <c r="V67" i="17" s="1"/>
  <c r="V68" i="17" s="1"/>
  <c r="V69" i="17" s="1"/>
  <c r="Q422" i="17"/>
  <c r="Q417" i="17"/>
  <c r="Q419" i="17" s="1"/>
  <c r="Q420" i="17" s="1"/>
  <c r="Q421" i="17" s="1"/>
  <c r="H70" i="17"/>
  <c r="H65" i="17"/>
  <c r="H67" i="17" s="1"/>
  <c r="H68" i="17" s="1"/>
  <c r="H69" i="17" s="1"/>
  <c r="R422" i="17"/>
  <c r="R417" i="17"/>
  <c r="R419" i="17" s="1"/>
  <c r="R420" i="17" s="1"/>
  <c r="R421" i="17" s="1"/>
  <c r="H38" i="16"/>
  <c r="C646" i="17"/>
  <c r="C470" i="17"/>
  <c r="C602" i="17"/>
  <c r="D17" i="26"/>
  <c r="F17" i="26"/>
  <c r="C17" i="26"/>
  <c r="G17" i="26"/>
  <c r="E17" i="26"/>
  <c r="C514" i="17"/>
  <c r="D24" i="26"/>
  <c r="C558" i="17"/>
  <c r="C160" i="17"/>
  <c r="D672" i="17" s="1"/>
  <c r="D38" i="27" s="1"/>
  <c r="C116" i="17"/>
  <c r="K37" i="16"/>
  <c r="K39" i="16"/>
  <c r="J15" i="24"/>
  <c r="L49" i="16"/>
  <c r="L56" i="16"/>
  <c r="M36" i="16"/>
  <c r="L53" i="16"/>
  <c r="L51" i="16"/>
  <c r="L50" i="16"/>
  <c r="J42" i="16" l="1"/>
  <c r="J44" i="16"/>
  <c r="H44" i="16"/>
  <c r="C103" i="20"/>
  <c r="C100" i="20"/>
  <c r="C18" i="15"/>
  <c r="H3" i="15" s="1"/>
  <c r="C19" i="33" s="1"/>
  <c r="D103" i="20"/>
  <c r="E80" i="20"/>
  <c r="D102" i="20"/>
  <c r="D99" i="20"/>
  <c r="C98" i="20"/>
  <c r="C102" i="20"/>
  <c r="C99" i="20"/>
  <c r="C79" i="20"/>
  <c r="E79" i="20"/>
  <c r="D80" i="20"/>
  <c r="E81" i="20"/>
  <c r="D100" i="20"/>
  <c r="D98" i="20"/>
  <c r="C101" i="20"/>
  <c r="D101" i="20"/>
  <c r="I38" i="16"/>
  <c r="I44" i="16"/>
  <c r="I42" i="16"/>
  <c r="C249" i="17"/>
  <c r="E40" i="16"/>
  <c r="E43" i="16" s="1"/>
  <c r="E45" i="16" s="1"/>
  <c r="E46" i="16" s="1"/>
  <c r="E47" i="16" s="1"/>
  <c r="E52" i="16" s="1"/>
  <c r="C16" i="24" s="1"/>
  <c r="C204" i="17"/>
  <c r="C673" i="17" s="1"/>
  <c r="C248" i="17"/>
  <c r="D673" i="17" s="1"/>
  <c r="E38" i="27" s="1"/>
  <c r="C205" i="17"/>
  <c r="C380" i="17"/>
  <c r="C675" i="17" s="1"/>
  <c r="G26" i="27" s="1"/>
  <c r="C337" i="17"/>
  <c r="F40" i="16"/>
  <c r="F43" i="16" s="1"/>
  <c r="F45" i="16" s="1"/>
  <c r="F46" i="16" s="1"/>
  <c r="F47" i="16" s="1"/>
  <c r="F52" i="16" s="1"/>
  <c r="C73" i="17"/>
  <c r="C28" i="17"/>
  <c r="C671" i="17" s="1"/>
  <c r="C424" i="17"/>
  <c r="D675" i="17" s="1"/>
  <c r="G38" i="27" s="1"/>
  <c r="C292" i="17"/>
  <c r="C674" i="17" s="1"/>
  <c r="C29" i="17"/>
  <c r="C425" i="17"/>
  <c r="C293" i="17"/>
  <c r="H41" i="16"/>
  <c r="H40" i="16"/>
  <c r="C336" i="17"/>
  <c r="D674" i="17" s="1"/>
  <c r="F38" i="27" s="1"/>
  <c r="C381" i="17"/>
  <c r="G40" i="16"/>
  <c r="G43" i="16" s="1"/>
  <c r="G45" i="16" s="1"/>
  <c r="G46" i="16" s="1"/>
  <c r="G47" i="16" s="1"/>
  <c r="G52" i="16" s="1"/>
  <c r="D40" i="16"/>
  <c r="D43" i="16" s="1"/>
  <c r="D45" i="16" s="1"/>
  <c r="D46" i="16" s="1"/>
  <c r="D47" i="16" s="1"/>
  <c r="D52" i="16" s="1"/>
  <c r="D54" i="16" s="1"/>
  <c r="C72" i="17"/>
  <c r="D671" i="17" s="1"/>
  <c r="C38" i="27" s="1"/>
  <c r="C162" i="17"/>
  <c r="K15" i="24"/>
  <c r="M56" i="16"/>
  <c r="N36" i="16"/>
  <c r="M51" i="16"/>
  <c r="M49" i="16"/>
  <c r="M50" i="16"/>
  <c r="M53" i="16"/>
  <c r="L37" i="16"/>
  <c r="L39" i="16"/>
  <c r="K38" i="16"/>
  <c r="K41" i="16" s="1"/>
  <c r="K44" i="16"/>
  <c r="K42" i="16"/>
  <c r="C672" i="17"/>
  <c r="C118" i="17"/>
  <c r="J40" i="16"/>
  <c r="J43" i="16" s="1"/>
  <c r="B19" i="33" l="1"/>
  <c r="C382" i="17"/>
  <c r="E675" i="17"/>
  <c r="G38" i="19" s="1"/>
  <c r="K10" i="21" s="1"/>
  <c r="F672" i="17"/>
  <c r="D39" i="19" s="1"/>
  <c r="C206" i="17"/>
  <c r="I41" i="16"/>
  <c r="I40" i="16"/>
  <c r="B16" i="24"/>
  <c r="E54" i="16"/>
  <c r="E673" i="17"/>
  <c r="E38" i="19" s="1"/>
  <c r="E26" i="27"/>
  <c r="H43" i="16"/>
  <c r="H45" i="16" s="1"/>
  <c r="H46" i="16" s="1"/>
  <c r="H47" i="16" s="1"/>
  <c r="H52" i="16" s="1"/>
  <c r="D55" i="16"/>
  <c r="B17" i="24" s="1"/>
  <c r="C250" i="17"/>
  <c r="C426" i="17"/>
  <c r="C30" i="17"/>
  <c r="E674" i="17"/>
  <c r="F38" i="19" s="1"/>
  <c r="F26" i="27"/>
  <c r="E671" i="17"/>
  <c r="C38" i="19" s="1"/>
  <c r="C15" i="20"/>
  <c r="C26" i="27"/>
  <c r="C74" i="17"/>
  <c r="E16" i="24"/>
  <c r="G54" i="16"/>
  <c r="D16" i="24"/>
  <c r="F54" i="16"/>
  <c r="C294" i="17"/>
  <c r="C338" i="17"/>
  <c r="K40" i="16"/>
  <c r="K43" i="16" s="1"/>
  <c r="E672" i="17"/>
  <c r="D38" i="19" s="1"/>
  <c r="K7" i="21" s="1"/>
  <c r="D26" i="27"/>
  <c r="L38" i="16"/>
  <c r="L41" i="16" s="1"/>
  <c r="L44" i="16"/>
  <c r="L42" i="16"/>
  <c r="G30" i="27"/>
  <c r="G41" i="27"/>
  <c r="L15" i="24"/>
  <c r="O36" i="16"/>
  <c r="N56" i="16"/>
  <c r="N51" i="16"/>
  <c r="N49" i="16"/>
  <c r="N53" i="16"/>
  <c r="N50" i="16"/>
  <c r="J45" i="16"/>
  <c r="J46" i="16" s="1"/>
  <c r="J47" i="16" s="1"/>
  <c r="J52" i="16" s="1"/>
  <c r="M37" i="16"/>
  <c r="M39" i="16"/>
  <c r="F675" i="17" l="1"/>
  <c r="G39" i="19" s="1"/>
  <c r="G42" i="27"/>
  <c r="G6" i="26"/>
  <c r="E25" i="26" s="1"/>
  <c r="C9" i="30"/>
  <c r="G15" i="23"/>
  <c r="G20" i="23" s="1"/>
  <c r="I43" i="16"/>
  <c r="I45" i="16" s="1"/>
  <c r="I46" i="16" s="1"/>
  <c r="I47" i="16" s="1"/>
  <c r="I52" i="16" s="1"/>
  <c r="G16" i="24" s="1"/>
  <c r="G41" i="19"/>
  <c r="I7" i="21"/>
  <c r="F671" i="17"/>
  <c r="C39" i="19" s="1"/>
  <c r="I6" i="21" s="1"/>
  <c r="G50" i="19"/>
  <c r="F674" i="17"/>
  <c r="F39" i="19" s="1"/>
  <c r="I9" i="21" s="1"/>
  <c r="F673" i="17"/>
  <c r="E39" i="19" s="1"/>
  <c r="K8" i="21"/>
  <c r="E50" i="19"/>
  <c r="E6" i="26"/>
  <c r="E41" i="19"/>
  <c r="E15" i="23"/>
  <c r="E20" i="23" s="1"/>
  <c r="C7" i="30"/>
  <c r="E55" i="16"/>
  <c r="C17" i="24" s="1"/>
  <c r="E30" i="27"/>
  <c r="E41" i="27"/>
  <c r="E42" i="27" s="1"/>
  <c r="H54" i="16"/>
  <c r="F16" i="24"/>
  <c r="C41" i="27"/>
  <c r="C42" i="27" s="1"/>
  <c r="C30" i="27"/>
  <c r="B26" i="33"/>
  <c r="C76" i="20"/>
  <c r="E76" i="20" s="1"/>
  <c r="C48" i="20"/>
  <c r="K6" i="21"/>
  <c r="C50" i="19"/>
  <c r="C6" i="26"/>
  <c r="C41" i="19"/>
  <c r="C5" i="30"/>
  <c r="C15" i="23"/>
  <c r="C20" i="23" s="1"/>
  <c r="F30" i="27"/>
  <c r="F41" i="27"/>
  <c r="F42" i="27" s="1"/>
  <c r="K9" i="21"/>
  <c r="F15" i="23"/>
  <c r="F20" i="23" s="1"/>
  <c r="C8" i="30"/>
  <c r="F50" i="19"/>
  <c r="F41" i="19"/>
  <c r="F6" i="26"/>
  <c r="L40" i="16"/>
  <c r="M15" i="24"/>
  <c r="O56" i="16"/>
  <c r="P36" i="16"/>
  <c r="O49" i="16"/>
  <c r="O53" i="16"/>
  <c r="O50" i="16"/>
  <c r="O51" i="16"/>
  <c r="D15" i="23"/>
  <c r="D20" i="23" s="1"/>
  <c r="C6" i="30"/>
  <c r="D6" i="26"/>
  <c r="D40" i="19"/>
  <c r="D50" i="19"/>
  <c r="D41" i="19"/>
  <c r="C40" i="19"/>
  <c r="F40" i="19"/>
  <c r="E40" i="19"/>
  <c r="D41" i="27"/>
  <c r="D42" i="27" s="1"/>
  <c r="D30" i="27"/>
  <c r="M38" i="16"/>
  <c r="M41" i="16" s="1"/>
  <c r="M44" i="16"/>
  <c r="M42" i="16"/>
  <c r="G40" i="19"/>
  <c r="H16" i="24"/>
  <c r="J54" i="16"/>
  <c r="N37" i="16"/>
  <c r="N39" i="16"/>
  <c r="K45" i="16"/>
  <c r="K46" i="16" s="1"/>
  <c r="K47" i="16" s="1"/>
  <c r="K52" i="16" s="1"/>
  <c r="C25" i="26" l="1"/>
  <c r="G15" i="26"/>
  <c r="I10" i="21"/>
  <c r="C22" i="23"/>
  <c r="C30" i="23" s="1"/>
  <c r="I54" i="16"/>
  <c r="F55" i="16"/>
  <c r="D17" i="24" s="1"/>
  <c r="C43" i="27"/>
  <c r="B27" i="33" s="1"/>
  <c r="I8" i="21"/>
  <c r="G51" i="19"/>
  <c r="C23" i="26"/>
  <c r="E15" i="26"/>
  <c r="E23" i="26"/>
  <c r="C26" i="33"/>
  <c r="E48" i="20"/>
  <c r="C15" i="26"/>
  <c r="C21" i="26"/>
  <c r="E21" i="26"/>
  <c r="E24" i="26"/>
  <c r="C24" i="26"/>
  <c r="F15" i="26"/>
  <c r="D6" i="30"/>
  <c r="D7" i="30"/>
  <c r="D8" i="30"/>
  <c r="D5" i="30"/>
  <c r="D9" i="30"/>
  <c r="I16" i="24"/>
  <c r="K54" i="16"/>
  <c r="N15" i="24"/>
  <c r="P56" i="16"/>
  <c r="P49" i="16"/>
  <c r="Q36" i="16"/>
  <c r="P50" i="16"/>
  <c r="P53" i="16"/>
  <c r="P51" i="16"/>
  <c r="N38" i="16"/>
  <c r="N41" i="16" s="1"/>
  <c r="N44" i="16"/>
  <c r="N42" i="16"/>
  <c r="O37" i="16"/>
  <c r="O39" i="16"/>
  <c r="D51" i="19"/>
  <c r="C51" i="19"/>
  <c r="F51" i="19"/>
  <c r="E51" i="19"/>
  <c r="L43" i="16"/>
  <c r="C22" i="26"/>
  <c r="D15" i="26"/>
  <c r="E22" i="26"/>
  <c r="D16" i="26"/>
  <c r="E16" i="26"/>
  <c r="C16" i="26"/>
  <c r="F16" i="26"/>
  <c r="G16" i="26"/>
  <c r="C14" i="30"/>
  <c r="C15" i="30"/>
  <c r="C16" i="30"/>
  <c r="C13" i="30"/>
  <c r="C17" i="30"/>
  <c r="M40" i="16"/>
  <c r="M43" i="16" s="1"/>
  <c r="C31" i="23" l="1"/>
  <c r="C30" i="33" s="1"/>
  <c r="G55" i="16"/>
  <c r="H55" i="16" s="1"/>
  <c r="C27" i="33"/>
  <c r="C36" i="30"/>
  <c r="M45" i="16"/>
  <c r="M46" i="16" s="1"/>
  <c r="M47" i="16" s="1"/>
  <c r="M52" i="16" s="1"/>
  <c r="L45" i="16"/>
  <c r="L46" i="16" s="1"/>
  <c r="L47" i="16" s="1"/>
  <c r="L52" i="16" s="1"/>
  <c r="O15" i="24"/>
  <c r="Q56" i="16"/>
  <c r="R36" i="16"/>
  <c r="Q49" i="16"/>
  <c r="Q51" i="16"/>
  <c r="Q53" i="16"/>
  <c r="Q50" i="16"/>
  <c r="O38" i="16"/>
  <c r="O41" i="16" s="1"/>
  <c r="O44" i="16"/>
  <c r="O42" i="16"/>
  <c r="N40" i="16"/>
  <c r="N43" i="16" s="1"/>
  <c r="P37" i="16"/>
  <c r="P39" i="16"/>
  <c r="E27" i="26"/>
  <c r="C27" i="26"/>
  <c r="E17" i="24" l="1"/>
  <c r="J16" i="24"/>
  <c r="L54" i="16"/>
  <c r="K16" i="24"/>
  <c r="M54" i="16"/>
  <c r="Q37" i="16"/>
  <c r="Q39" i="16"/>
  <c r="N45" i="16"/>
  <c r="N46" i="16" s="1"/>
  <c r="N47" i="16" s="1"/>
  <c r="N52" i="16" s="1"/>
  <c r="F17" i="24"/>
  <c r="I55" i="16"/>
  <c r="P15" i="24"/>
  <c r="S36" i="16"/>
  <c r="R56" i="16"/>
  <c r="R49" i="16"/>
  <c r="R51" i="16"/>
  <c r="R53" i="16"/>
  <c r="R50" i="16"/>
  <c r="O40" i="16"/>
  <c r="O43" i="16" s="1"/>
  <c r="P38" i="16"/>
  <c r="P41" i="16" s="1"/>
  <c r="P44" i="16"/>
  <c r="P42" i="16"/>
  <c r="R37" i="16" l="1"/>
  <c r="R39" i="16"/>
  <c r="O45" i="16"/>
  <c r="O46" i="16" s="1"/>
  <c r="O47" i="16" s="1"/>
  <c r="O52" i="16" s="1"/>
  <c r="Q38" i="16"/>
  <c r="Q41" i="16" s="1"/>
  <c r="Q44" i="16"/>
  <c r="Q42" i="16"/>
  <c r="P40" i="16"/>
  <c r="P43" i="16" s="1"/>
  <c r="L16" i="24"/>
  <c r="N54" i="16"/>
  <c r="Q15" i="24"/>
  <c r="T36" i="16"/>
  <c r="S56" i="16"/>
  <c r="S49" i="16"/>
  <c r="S50" i="16"/>
  <c r="S53" i="16"/>
  <c r="S51" i="16"/>
  <c r="G17" i="24"/>
  <c r="J55" i="16"/>
  <c r="S37" i="16" l="1"/>
  <c r="S39" i="16"/>
  <c r="R15" i="24"/>
  <c r="T49" i="16"/>
  <c r="T56" i="16"/>
  <c r="U36" i="16"/>
  <c r="T53" i="16"/>
  <c r="T51" i="16"/>
  <c r="T50" i="16"/>
  <c r="H17" i="24"/>
  <c r="K55" i="16"/>
  <c r="Q40" i="16"/>
  <c r="Q43" i="16" s="1"/>
  <c r="P45" i="16"/>
  <c r="P46" i="16" s="1"/>
  <c r="P47" i="16" s="1"/>
  <c r="P52" i="16" s="1"/>
  <c r="R38" i="16"/>
  <c r="R41" i="16" s="1"/>
  <c r="R44" i="16"/>
  <c r="R42" i="16"/>
  <c r="M16" i="24"/>
  <c r="O54" i="16"/>
  <c r="N16" i="24" l="1"/>
  <c r="P54" i="16"/>
  <c r="S15" i="24"/>
  <c r="U56" i="16"/>
  <c r="V36" i="16"/>
  <c r="U51" i="16"/>
  <c r="U49" i="16"/>
  <c r="U50" i="16"/>
  <c r="U53" i="16"/>
  <c r="Q45" i="16"/>
  <c r="Q46" i="16" s="1"/>
  <c r="Q47" i="16" s="1"/>
  <c r="Q52" i="16" s="1"/>
  <c r="I17" i="24"/>
  <c r="L55" i="16"/>
  <c r="R40" i="16"/>
  <c r="R43" i="16" s="1"/>
  <c r="T37" i="16"/>
  <c r="T39" i="16"/>
  <c r="S38" i="16"/>
  <c r="S41" i="16" s="1"/>
  <c r="S44" i="16"/>
  <c r="S42" i="16"/>
  <c r="O16" i="24" l="1"/>
  <c r="Q54" i="16"/>
  <c r="J17" i="24"/>
  <c r="M55" i="16"/>
  <c r="T38" i="16"/>
  <c r="T41" i="16" s="1"/>
  <c r="T44" i="16"/>
  <c r="T42" i="16"/>
  <c r="R45" i="16"/>
  <c r="R46" i="16" s="1"/>
  <c r="R47" i="16" s="1"/>
  <c r="R52" i="16" s="1"/>
  <c r="T15" i="24"/>
  <c r="W36" i="16"/>
  <c r="V56" i="16"/>
  <c r="V51" i="16"/>
  <c r="V49" i="16"/>
  <c r="V53" i="16"/>
  <c r="V50" i="16"/>
  <c r="U37" i="16"/>
  <c r="U39" i="16"/>
  <c r="S40" i="16"/>
  <c r="S43" i="16" s="1"/>
  <c r="P16" i="24" l="1"/>
  <c r="R54" i="16"/>
  <c r="V37" i="16"/>
  <c r="V39" i="16"/>
  <c r="T40" i="16"/>
  <c r="T43" i="16" s="1"/>
  <c r="S45" i="16"/>
  <c r="S46" i="16" s="1"/>
  <c r="S47" i="16" s="1"/>
  <c r="S52" i="16" s="1"/>
  <c r="U15" i="24"/>
  <c r="W56" i="16"/>
  <c r="W49" i="16"/>
  <c r="W50" i="16"/>
  <c r="W53" i="16"/>
  <c r="W51" i="16"/>
  <c r="U38" i="16"/>
  <c r="U41" i="16" s="1"/>
  <c r="U44" i="16"/>
  <c r="U42" i="16"/>
  <c r="K17" i="24"/>
  <c r="N55" i="16"/>
  <c r="Q16" i="24" l="1"/>
  <c r="S54" i="16"/>
  <c r="V38" i="16"/>
  <c r="V41" i="16" s="1"/>
  <c r="V44" i="16"/>
  <c r="V42" i="16"/>
  <c r="T45" i="16"/>
  <c r="T46" i="16" s="1"/>
  <c r="T47" i="16" s="1"/>
  <c r="T52" i="16" s="1"/>
  <c r="L17" i="24"/>
  <c r="O55" i="16"/>
  <c r="U40" i="16"/>
  <c r="U43" i="16" s="1"/>
  <c r="W37" i="16"/>
  <c r="W39" i="16"/>
  <c r="R16" i="24" l="1"/>
  <c r="T54" i="16"/>
  <c r="V40" i="16"/>
  <c r="V43" i="16" s="1"/>
  <c r="W38" i="16"/>
  <c r="W41" i="16" s="1"/>
  <c r="W44" i="16"/>
  <c r="W42" i="16"/>
  <c r="X37" i="16"/>
  <c r="U45" i="16"/>
  <c r="U46" i="16" s="1"/>
  <c r="U47" i="16" s="1"/>
  <c r="U52" i="16" s="1"/>
  <c r="M17" i="24"/>
  <c r="P55" i="16"/>
  <c r="S16" i="24" l="1"/>
  <c r="U54" i="16"/>
  <c r="W40" i="16"/>
  <c r="V45" i="16"/>
  <c r="V46" i="16" s="1"/>
  <c r="V47" i="16" s="1"/>
  <c r="V52" i="16" s="1"/>
  <c r="N17" i="24"/>
  <c r="Q55" i="16"/>
  <c r="T16" i="24" l="1"/>
  <c r="V54" i="16"/>
  <c r="O17" i="24"/>
  <c r="R55" i="16"/>
  <c r="W43" i="16"/>
  <c r="C57" i="16"/>
  <c r="X40" i="16"/>
  <c r="C58" i="16" s="1"/>
  <c r="C10" i="33" l="1"/>
  <c r="B10" i="33"/>
  <c r="W45" i="16"/>
  <c r="W46" i="16" s="1"/>
  <c r="W47" i="16" s="1"/>
  <c r="W52" i="16" s="1"/>
  <c r="P17" i="24"/>
  <c r="S55" i="16"/>
  <c r="U16" i="24" l="1"/>
  <c r="W54" i="16"/>
  <c r="C61" i="16" s="1"/>
  <c r="C62" i="16"/>
  <c r="Q17" i="24"/>
  <c r="T55" i="16"/>
  <c r="B13" i="33" l="1"/>
  <c r="C13" i="33"/>
  <c r="B9" i="24"/>
  <c r="R17" i="24"/>
  <c r="U55" i="16"/>
  <c r="B7" i="33"/>
  <c r="C7" i="33" s="1"/>
  <c r="B8" i="24"/>
  <c r="C64" i="16"/>
  <c r="B9" i="33" s="1"/>
  <c r="C9" i="33" l="1"/>
  <c r="C14" i="33"/>
  <c r="C5" i="33" s="1"/>
  <c r="B14" i="33"/>
  <c r="B11" i="24"/>
  <c r="S17" i="24"/>
  <c r="V55" i="16"/>
  <c r="C4" i="33" l="1"/>
  <c r="C1" i="33" s="1"/>
  <c r="T17" i="24"/>
  <c r="W55" i="16"/>
  <c r="C1" i="36" l="1"/>
  <c r="C1" i="1"/>
  <c r="C1" i="3"/>
  <c r="C1" i="15"/>
  <c r="C1" i="14"/>
  <c r="C1" i="7"/>
  <c r="C1" i="26"/>
  <c r="E4" i="19"/>
  <c r="C1" i="6"/>
  <c r="C1" i="19"/>
  <c r="C1" i="16"/>
  <c r="C1" i="30"/>
  <c r="C1" i="29"/>
  <c r="C1" i="27"/>
  <c r="C1" i="20"/>
  <c r="C1" i="10"/>
  <c r="C1" i="9"/>
  <c r="C1" i="11"/>
  <c r="C1" i="13"/>
  <c r="E3" i="20"/>
  <c r="C1" i="28"/>
  <c r="E3" i="2"/>
  <c r="C1" i="8"/>
  <c r="C1" i="23"/>
  <c r="D1" i="5"/>
  <c r="C1" i="2"/>
  <c r="C1" i="17"/>
  <c r="C1" i="24"/>
  <c r="C1" i="34"/>
  <c r="C1" i="21"/>
  <c r="C1" i="31"/>
  <c r="U17" i="24"/>
  <c r="C63" i="16"/>
  <c r="B10" i="24" s="1"/>
</calcChain>
</file>

<file path=xl/sharedStrings.xml><?xml version="1.0" encoding="utf-8"?>
<sst xmlns="http://schemas.openxmlformats.org/spreadsheetml/2006/main" count="6062" uniqueCount="2533">
  <si>
    <t>Calculations</t>
  </si>
  <si>
    <t>Single-country DCF for the selected country/scenario: annual feeders, then the per-period cash-flow statement, then outputs. Blue = value linked in from Assumptions; black = calculated here. All $m.</t>
  </si>
  <si>
    <t>Single-country aggregates (annual, active country/scenario) — feed the statement below</t>
  </si>
  <si>
    <t>Number of GPUs</t>
  </si>
  <si>
    <t>#</t>
  </si>
  <si>
    <t>GPU capex</t>
  </si>
  <si>
    <t>$m</t>
  </si>
  <si>
    <t>Facility capex (incl. interconnect)</t>
  </si>
  <si>
    <t>Total power draw</t>
  </si>
  <si>
    <t>MW</t>
  </si>
  <si>
    <t>Annual revenue</t>
  </si>
  <si>
    <t>Annual power cost</t>
  </si>
  <si>
    <t>Insurance ($m/yr)</t>
  </si>
  <si>
    <t>Property tax ($m/yr)</t>
  </si>
  <si>
    <t>Annual opex (O&amp;M+ins+proptax)</t>
  </si>
  <si>
    <t>Annual EBITDA</t>
  </si>
  <si>
    <t>Facility deprec rate (blended shell/fit-out)</t>
  </si>
  <si>
    <t>x</t>
  </si>
  <si>
    <t>Annual depreciation</t>
  </si>
  <si>
    <t>After-tax annual op. CF (steady)</t>
  </si>
  <si>
    <t>Occupancy-linked after-tax margin</t>
  </si>
  <si>
    <t>Terminal value (reference)</t>
  </si>
  <si>
    <t>Ops start period</t>
  </si>
  <si>
    <t>yr</t>
  </si>
  <si>
    <t>Discount base v = 1/(1+WACC)</t>
  </si>
  <si>
    <t>Ramp PV haircut</t>
  </si>
  <si>
    <t>Revenue per unit util</t>
  </si>
  <si>
    <t>Power per unit util</t>
  </si>
  <si>
    <t>Phased facility capex: even draw over the build (periods 0..S−1); GPU capex at ops-start. Both feed the statement below (see Buildout Schedule).</t>
  </si>
  <si>
    <t>Per-period cash-flow statement (periods 0–19). Revenue uses the per-period compute-price path: entry = P0·(1−decline)^TTP, then Contracted holds it flat while Merchant keeps eroding to the floor.</t>
  </si>
  <si>
    <t>Line item</t>
  </si>
  <si>
    <t>Units</t>
  </si>
  <si>
    <t>Check</t>
  </si>
  <si>
    <t>Period counter</t>
  </si>
  <si>
    <t>Operating year?  (1 = in ops)</t>
  </si>
  <si>
    <t>flag</t>
  </si>
  <si>
    <t xml:space="preserve">  Occupancy factor (lease-up ramp)</t>
  </si>
  <si>
    <t>Compute price this period</t>
  </si>
  <si>
    <t>$/GPU-hr</t>
  </si>
  <si>
    <t>Revenue (price × occupancy)</t>
  </si>
  <si>
    <t>Power cost</t>
  </si>
  <si>
    <t>O&amp;M + insurance + property tax</t>
  </si>
  <si>
    <t>EBITDA</t>
  </si>
  <si>
    <t>Depreciation</t>
  </si>
  <si>
    <t>Taxable income (EBIT)</t>
  </si>
  <si>
    <t>Tax (no loss refund)</t>
  </si>
  <si>
    <t>After-tax operating CF</t>
  </si>
  <si>
    <t>Facility capex (phased over build)</t>
  </si>
  <si>
    <t>Holding cost (idle shell, pre-power)</t>
  </si>
  <si>
    <t>GPU capex (at ops-start)</t>
  </si>
  <si>
    <t>Salvage at exit (terminal value): facility shell + interconnection at PRE-TAX proceeds (no depreciation-recapture/gain tax) + spent GPUs after-tax</t>
  </si>
  <si>
    <t>Net free cash flow</t>
  </si>
  <si>
    <t>Discount factor</t>
  </si>
  <si>
    <t>Discounted FCF</t>
  </si>
  <si>
    <t>Cumulative net FCF</t>
  </si>
  <si>
    <t>Operating cycle (0 = idle, 1 = single hold)</t>
  </si>
  <si>
    <t>After-tax operating-margin PV (occupancy-scaling part — feeds break-even)</t>
  </si>
  <si>
    <t>Internal row-checks (must be 0)</t>
  </si>
  <si>
    <t>Summary outputs</t>
  </si>
  <si>
    <t>NPV (sum of discounted FCF)</t>
  </si>
  <si>
    <t>IRR</t>
  </si>
  <si>
    <t>%</t>
  </si>
  <si>
    <t>Payback (incl. build)</t>
  </si>
  <si>
    <t>Break-even utilization</t>
  </si>
  <si>
    <t>100 MW Data-Center Unit-Economics Model (Norway, Saudi Arabia, United States, Ireland, India)</t>
  </si>
  <si>
    <t>Finding: power is a trivial cost (~1–2% of revenue) at today's price, but it crosses to material once a long grid queue erodes the entry price to the floor.</t>
  </si>
  <si>
    <t>Thesis: with calendar-coupled compute-price erosion, time-to-power reorderds viability and destroys value in slow-queue geographies. Purpose: compare the viability of a 100 MW AI data center across 5 countries from an auditable per-MW asset P&amp;L (per-period DCF).</t>
  </si>
  <si>
    <t xml:space="preserve">Intended users: the analyst (Henry) first; auditable by a finance professional on first open. </t>
  </si>
  <si>
    <t>What this IS: an indicative, comparative unit-economics model ranking five countries on AI-data-centre viability.   ·   What it is FOR: the relative ranking and the drivers that move it (queue length, power, WACC, price erosion).   ·   What it is NOT: a bankable, financing-grade valuation of any single project — absolute NPVs are directional. See the Limitations tab.</t>
  </si>
  <si>
    <t>Format key (River / FAST convention)</t>
  </si>
  <si>
    <t>Blue font</t>
  </si>
  <si>
    <t>Data origin — an input you may change, or a value linked in from another sheet</t>
  </si>
  <si>
    <t>Black font</t>
  </si>
  <si>
    <t>Calculated on this sheet</t>
  </si>
  <si>
    <t>Red font</t>
  </si>
  <si>
    <t>Output consumed elsewhere, or a check / status flag</t>
  </si>
  <si>
    <t>Only unlocked cells are editable</t>
  </si>
  <si>
    <t>Sheets are protected; blue input cells on Assumptions / Buildout / Review are the only editable cells</t>
  </si>
  <si>
    <t>Brackets = negative, dash = zero</t>
  </si>
  <si>
    <t>Standard finance display; units column on every calc row</t>
  </si>
  <si>
    <t>Tab colours by section</t>
  </si>
  <si>
    <t>Navy = structural/navigation · amber = inputs · steel-blue = calculations · green = outputs · gold = checks</t>
  </si>
  <si>
    <t>Contents</t>
  </si>
  <si>
    <t>Model map</t>
  </si>
  <si>
    <t>how it fits together</t>
  </si>
  <si>
    <t>Sources</t>
  </si>
  <si>
    <t>GPU Specs</t>
  </si>
  <si>
    <t>Compute Price Data</t>
  </si>
  <si>
    <t>Interconnection Queue</t>
  </si>
  <si>
    <t>Power Build-up</t>
  </si>
  <si>
    <t>WACC Build-up</t>
  </si>
  <si>
    <t>Assumptions</t>
  </si>
  <si>
    <t>distilled drivers + country data Table (last in inputs)</t>
  </si>
  <si>
    <t>Capex Stack</t>
  </si>
  <si>
    <t>shell/fit-out/GPU/networking per MW</t>
  </si>
  <si>
    <t>Unit Economics</t>
  </si>
  <si>
    <t>per-MW build block + external anchor</t>
  </si>
  <si>
    <t>Buildout Schedule</t>
  </si>
  <si>
    <t>deployment records Table</t>
  </si>
  <si>
    <t>per-period DCF (active country)</t>
  </si>
  <si>
    <t>Comparison</t>
  </si>
  <si>
    <t>Country detail</t>
  </si>
  <si>
    <t>one-country drill-down</t>
  </si>
  <si>
    <t>Reconciliation: Calculations (active drill) = Country Engine (all countries × deals, per period) = Comparison, to the dollar; Checks!C4 = 0 with zero error cells across every scenario × deal × country state.</t>
  </si>
  <si>
    <t>country records Table</t>
  </si>
  <si>
    <t>Sensitivity</t>
  </si>
  <si>
    <t>price×util grid + one-way tornado</t>
  </si>
  <si>
    <t>Checks</t>
  </si>
  <si>
    <t>errors, senses, anchors, provenance</t>
  </si>
  <si>
    <t>Review</t>
  </si>
  <si>
    <t>independent sign-off</t>
  </si>
  <si>
    <t>Model map — how this workbook fits together</t>
  </si>
  <si>
    <t>Orient once, navigate anywhere. Three toggles drive everything; data flows one direction; reconciliations keep it honest.</t>
  </si>
  <si>
    <t>Workbook status</t>
  </si>
  <si>
    <t>1 · The three toggles (set on Assumptions)</t>
  </si>
  <si>
    <t>Toggle</t>
  </si>
  <si>
    <t>Set on</t>
  </si>
  <si>
    <t>Options</t>
  </si>
  <si>
    <t>What it drives</t>
  </si>
  <si>
    <t>Scenario</t>
  </si>
  <si>
    <t>Assumptions!B4</t>
  </si>
  <si>
    <t>Bear / Base / Bull</t>
  </si>
  <si>
    <t>Delivered power, time-to-power, WACC (all countries)</t>
  </si>
  <si>
    <t>Country</t>
  </si>
  <si>
    <t>Assumptions!B5</t>
  </si>
  <si>
    <t>Norway/US/India/Ireland/Saudi</t>
  </si>
  <si>
    <t>Which country Calculations &amp; Country detail present</t>
  </si>
  <si>
    <t>Deal type</t>
  </si>
  <si>
    <t>Assumptions!B7</t>
  </si>
  <si>
    <t>Contracted / Merchant</t>
  </si>
  <si>
    <t>Occupancy, WACC premium</t>
  </si>
  <si>
    <t>2 · Data flow — one direction, no circularity</t>
  </si>
  <si>
    <t>Sourcing tabs (GPU Specs, Compute Price Data, Interconnection Queue, Power/WACC Build-ups)  →  Assumptions (distilled drivers, last in inputs)</t>
  </si>
  <si>
    <t xml:space="preserve">        ↓</t>
  </si>
  <si>
    <t>Capex Stack  →  Unit Economics (per-MW)  →  Buildout Schedule (facility-capex draw)  →  Calculations (per-period DCF)</t>
  </si>
  <si>
    <t>Comparison (all 5 countries, closed-form)  →  Country detail  →  Scenario Grid  →  Checks</t>
  </si>
  <si>
    <t>Energy Security (WEC Trilemma) is a FENCED labelled-implication tab — it does NOT feed the P&amp;L.</t>
  </si>
  <si>
    <t>3 · Reconciliations (all on Checks; C4 must = 0)</t>
  </si>
  <si>
    <t>• Two-engine tie: Calculations per-period NPV = Comparison closed-form NPV (active country)</t>
  </si>
  <si>
    <t>• Roll-up tie: Unit Economics per-MW × IT load = Calculations facility + GPU capex</t>
  </si>
  <si>
    <t>• Buildout tie: DCF facility-capex draw (Σ per-period) reconciles to the facility capex total; draw weights sum to 1</t>
  </si>
  <si>
    <t>• Scenario Grid tie: active-country grid NPV = Calculations NPV</t>
  </si>
  <si>
    <t>• EXTERNAL ANCHORS: capex/MW in $30–50m band; revenue/MW/yr in $15–40m band (sourced)</t>
  </si>
  <si>
    <t>4 · Key drivers (High materiality)</t>
  </si>
  <si>
    <t>• Compute price ($/GPU-hr) — largest NPV lever</t>
  </si>
  <si>
    <t>• GPU+IT capex &amp; density — physically coupled across chip generations</t>
  </si>
  <si>
    <t>• Time-to-power (yr) — the sharpest country-varying energy lever</t>
  </si>
  <si>
    <t>• Cost of capital — unlevered hurdle rate (WACC proxy) — country-varying</t>
  </si>
  <si>
    <t>• IT load (MW) — scale</t>
  </si>
  <si>
    <t>5 · Disclosed modelling choices</t>
  </si>
  <si>
    <t>• Country Engine net-FCF is one long row (~228 chars) — but FLAT (2 IFs, not nested) and single-purpose. Deliberate compact-engine tradeoff: the 15-block Country Engine stays readable by inlining the cash-flow aggregation into one line; the fully-decomposed, one-row-per-component version lives on Calculations.</t>
  </si>
  <si>
    <t>• Reference/build-up tabs (Power Build-up, WACC Build-up, GPU Specs, Compute Price Data) are RECONCILED to Assumptions by check (Checks r22/r24/r25), not live-linked. Assumptions holds the authoritative hardcodes; the build-ups show the derivation. Interconnection Queue is the live-linked source: US TTP (median/p75/p25) plus the dispersion ratios that set the other four countries’ TTP bands.</t>
  </si>
  <si>
    <t>Limitations &amp; scope — read before the results</t>
  </si>
  <si>
    <t>This is an INDICATIVE, comparative unit-economics model for ranking five countries — not a bankable, financing-grade valuation. It is deliberately simple; the limitations below are disclosed by design, not oversights. Absolute NPVs carry the uncertainty of all inputs; the country RANKING is the robust output.</t>
  </si>
  <si>
    <t>Limitation</t>
  </si>
  <si>
    <t>Effect on the results</t>
  </si>
  <si>
    <t>How it is handled / disclosed</t>
  </si>
  <si>
    <t>1</t>
  </si>
  <si>
    <t>Indicative, not bankable</t>
  </si>
  <si>
    <t>Unlevered, single-hold; absolute NPV is directional, not a financing valuation.</t>
  </si>
  <si>
    <t>Use for cross-country ranking, not underwriting. Stated on Cover / Model map. No equity valuation or demand forecasting.</t>
  </si>
  <si>
    <t>2</t>
  </si>
  <si>
    <t>Compute-price decline &amp; floor are PROJECTIONS</t>
  </si>
  <si>
    <t>Calibrated to the realized H100 lifecycle; flagged as estimates in Sources (r34/r39-41) and on the Price Floor tab.</t>
  </si>
  <si>
    <t>3</t>
  </si>
  <si>
    <t>Single-hold liquidation framing</t>
  </si>
  <si>
    <t>One GPU cycle then exit; real operators may re-tenant, which would raise returns.</t>
  </si>
  <si>
    <t>Deliberate simplification; disclosed. Re-tenanting removed to keep the model auditable.</t>
  </si>
  <si>
    <t>4</t>
  </si>
  <si>
    <t>Grid carbon NOT priced</t>
  </si>
  <si>
    <t>A pure-$/MWh ranking would silently favour cheap-but-dirty grids.</t>
  </si>
  <si>
    <t>Grid carbon intensity (gCO2/kWh) shown as a second lens on Comparison (r42), explicitly NOT in the NPV.</t>
  </si>
  <si>
    <t>5</t>
  </si>
  <si>
    <t>Ireland CRU Large-Energy-User policy (late-2025)</t>
  </si>
  <si>
    <t>New DCs &gt;10 MVA must self-generate 100% flexible + source 80% new renewables in 6 yr — a capex/feasibility burden not priced. Effect on results is unambiguously negative for Ireland: it does NOT change the Base/Bull ranking (Ireland is already last), but Ireland's Bear ‘least-bad’ rank (1st — its price is already at the floor, so it has the least erosion downside) is overstated and would fall if the CRU generation/storage capex and ~6-yr approval timing were costed. Deliberately not modelled, to avoid false precision. Source: CRU/EirGrid Dec-2025 (Sources r14/r30).</t>
  </si>
  <si>
    <t>Disclosed; it makes Ireland (already last on NPV) harder still. Model UNDERSTATES Ireland difficulty.</t>
  </si>
  <si>
    <t>6</t>
  </si>
  <si>
    <t>Water / cooling-water cost not separately modelled</t>
  </si>
  <si>
    <t>Material in hot climates (India, Saudi); modestly understates their opex.</t>
  </si>
  <si>
    <t>Disclosed caveat; folded into O&amp;M at a country-flat rate.</t>
  </si>
  <si>
    <t>7</t>
  </si>
  <si>
    <t>US export controls / chip access (status as of Aug 2026)</t>
  </si>
  <si>
    <t>Ranking assumes lawful Blackwell (B200/GB200) procurement — presumption-of-denial by default. US/Norway/Ireland: unrestricted (domestic/allied). Saudi: conditional — approved via HUMAIN (Nov-2025) under RTE security/reporting + cap. India: licensed/capped (trusted-partner quota, ~270k H100-eq in 2026). No modelled country is blocked, but Saudi/India access is conditional.</t>
  </si>
  <si>
    <t>Boundary condition, NOT priced in the NPV; the ranking is conditional on access holding. Regime is transactional/volatile (Diffusion Rule rescinded May-2025). Sources: US Commerce Nov-2025; BIS/IISS 2025-26. Developed in the article.</t>
  </si>
  <si>
    <t>8</t>
  </si>
  <si>
    <t>Single 100 MW reference facility</t>
  </si>
  <si>
    <t>Per-MW unit economics; not a portfolio, staged-build, or financing model.</t>
  </si>
  <si>
    <t>Scale is a normalisation, not a forecast. Disclosed.</t>
  </si>
  <si>
    <t>9</t>
  </si>
  <si>
    <t>Networking fabric, GPU attrition, decommissioning</t>
  </si>
  <si>
    <t>Not separately line-itemed; minor understatement of cost.</t>
  </si>
  <si>
    <t>Folded into capex/O&amp;M or omitted; disclosed. Immaterial to the ranking.</t>
  </si>
  <si>
    <t>10</t>
  </si>
  <si>
    <t>Delivered power is zone/market-dependent</t>
  </si>
  <si>
    <t>US = ERCOT basis (PJM 2–3× higher); Norway = blended NO zones.</t>
  </si>
  <si>
    <t>Disclosed on Power Build-up; delivered price validated vs observed industrial all-in.</t>
  </si>
  <si>
    <t>11</t>
  </si>
  <si>
    <t>Point-in-time sources</t>
  </si>
  <si>
    <t>Prices, tariffs, and queues as of ~Aug 2026 in a fast-moving market.</t>
  </si>
  <si>
    <t>Every input dated &amp; graded on Sources; refresh before re-use.</t>
  </si>
  <si>
    <t>12</t>
  </si>
  <si>
    <t>Single-vendor (NVIDIA) concentration</t>
  </si>
  <si>
    <t>The whole market depends on one vendor’s Blackwell allocation and roadmap; a policy or allocation shift moves all five countries together.</t>
  </si>
  <si>
    <t>Structural risk, disclosed; not modelled (affects levels, not the cross-country ranking).</t>
  </si>
  <si>
    <t>13</t>
  </si>
  <si>
    <t>Data-sovereignty / cross-border data rules</t>
  </si>
  <si>
    <t>EU/GDPR and data-localisation rules can constrain workloads and siting (esp. Ireland/EU; India DPDP Act 2023). Where binding, these would enter the model as: (a) localisation capex — in-country replication of storage/compute; (b) cross-border data-transfer/egress + dedicated interconnect opex; (c) compliance overhead (DPO, audits, standard contractual clauses) opex; and (d) a revenue constraint where residency bars certain customers/workloads. Not a cost line here.</t>
  </si>
  <si>
    <t>Structural risk, disclosed; a full siting decision must layer it on.</t>
  </si>
  <si>
    <t>14</t>
  </si>
  <si>
    <t>Policy-volatile drivers treated as point-in-time</t>
  </si>
  <si>
    <t>Time-to-power, country-risk premia and export-control status are policy-sensitive and can move fast; modelled as static, as-of ~Aug 2026.</t>
  </si>
  <si>
    <t>Disclosed; refresh before re-use. Scenario band (Bear/Base/Bull) partly captures TTP/CRP ranges.</t>
  </si>
  <si>
    <t>15</t>
  </si>
  <si>
    <t>Tax simplified (statutory rate, no loss carryforward, unlevered; salvage partly pre-tax)</t>
  </si>
  <si>
    <t>Corporate tax = statutory rate on EBIT, charged only when positive with NO loss carryforward — conservative in ramp years; statutory not effective rates (ignores holidays/incentives, e.g. Gulf SEZ, Ireland regime); unlevered, so no interest/debt tax shield. Salvage/exit: the facility shell + interconnection are modelled as PRE-TAX proceeds (no depreciation-recapture or capital-gains tax on the shell); only GPU salvage is taxed (after-tax) — this modestly overstates terminal cash for short-queue winners (Norway, Saudi).</t>
  </si>
  <si>
    <t>Disclosed. Conservative on ramp-year losses; effective-rate incentives would favour low-tax jurisdictions further; interest shield excluded by the all-equity single-hold design.</t>
  </si>
  <si>
    <t>16</t>
  </si>
  <si>
    <t>Water-use efficiency (WUE) &amp; water stress — not modelled</t>
  </si>
  <si>
    <t>No WUE (L/kWh) or catchment water-stress line by cooling type; evaporative cooling in hot, water-stressed grids (India, Saudi) could add real opex and permitting risk.</t>
  </si>
  <si>
    <t>Disclosed; shown “not assessed” in Comparison (r43); flagged for a future water module.</t>
  </si>
  <si>
    <t>17</t>
  </si>
  <si>
    <t>Revenue is country-invariant</t>
  </si>
  <si>
    <t>Compute price ($/GPU-hr) applied identically across all five countries — no data-residency, sovereignty, latency or local-demand premia.</t>
  </si>
  <si>
    <t>Defensible (compute is globally traded); stated explicitly. Country choice affects cost, not modelled revenue.</t>
  </si>
  <si>
    <t>18</t>
  </si>
  <si>
    <t>USD-nominal; FX out of scope</t>
  </si>
  <si>
    <t>All figures USD-nominal (WACC via Damodaran country-risk); no local-currency inflation; India/Norway flows in USD with no translation or hedging cost.</t>
  </si>
  <si>
    <t>Disclosed convention; a real deployment carries FX exposure on local power, tax and O&amp;M.</t>
  </si>
  <si>
    <t>19</t>
  </si>
  <si>
    <t>Time-to-power band methodology</t>
  </si>
  <si>
    <t>Non-US TTP dispersion is transferred from the US LBNL distribution (the only observed one); country medians are regulator-sourced. Ireland’s upper tail is likely fatter than the transferred IQR (CRU policy).</t>
  </si>
  <si>
    <t>US bands observed (LBNL); non-US bands = median × US IQR. Disclosed on Assumptions &amp; Sources r51.</t>
  </si>
  <si>
    <t>Chip-access feasibility screen — export-control status by country (as of ~Aug 2026; verify current BIS rules before relying). Blackwell/B200 default = licence-required; named operator/end-user, supply route and basis below. Sources: [39][44][45].</t>
  </si>
  <si>
    <t>Chip-access status</t>
  </si>
  <si>
    <t>Named operator / end-user</t>
  </si>
  <si>
    <t>Supply route</t>
  </si>
  <si>
    <t>Basis / citation</t>
  </si>
  <si>
    <t>Norway</t>
  </si>
  <si>
    <t>Permitted — no US licence (EEA/NATO; Country Group A)</t>
  </si>
  <si>
    <t>nScale — Glomfjord AI data centre (hydro)</t>
  </si>
  <si>
    <t>NVIDIA → OEM → nScale (EEA)</t>
  </si>
  <si>
    <t>BIS EAR §742.6 [44]; operators/routes [45]</t>
  </si>
  <si>
    <t>United States</t>
  </si>
  <si>
    <t>Permitted — domestic (no export)</t>
  </si>
  <si>
    <t>US hyperscalers / neoclouds (e.g., CoreWeave)</t>
  </si>
  <si>
    <t>Domestic build</t>
  </si>
  <si>
    <t>BIS EAR [44] (no export)</t>
  </si>
  <si>
    <t>India</t>
  </si>
  <si>
    <t>Licence-required — approvals flowing (not Tier 1)</t>
  </si>
  <si>
    <t>Reliance (1 GW Gujarat); Tata Communications; Yotta (20,736 Blackwell Ultra)</t>
  </si>
  <si>
    <t>NVIDIA → OEM → Indian operator under US licence</t>
  </si>
  <si>
    <t>Export controls [39]; framework [44]; operators [45]; DPDP Act 2023</t>
  </si>
  <si>
    <t>Ireland</t>
  </si>
  <si>
    <t>Permitted — EU/Tier 1 (grid connection, not chips, is the binding gate)</t>
  </si>
  <si>
    <t>EU hyperscaler cloud (Dublin)</t>
  </si>
  <si>
    <t>NVIDIA → OEM → EU operator</t>
  </si>
  <si>
    <t>BIS EAR [44]; Ireland CRU policy [11]</t>
  </si>
  <si>
    <t>Saudi Arabia</t>
  </si>
  <si>
    <t>Licence-required — conditionally AUTHORISED Nov-2025 (end-user-specific)</t>
  </si>
  <si>
    <t>HUMAIN (PIF): up to 35,000 GB300 authorised; plan ~600k accelerators</t>
  </si>
  <si>
    <t>NVIDIA → OEM → HUMAIN; BIS security/reporting conditions</t>
  </si>
  <si>
    <t>US Commerce/BIS 19-Nov-2025 [39][44]</t>
  </si>
  <si>
    <t>Implication: “lawful chip access” is not uniform across the five. Norway/US/Ireland are unrestricted; India and Saudi require US licences (Saudi’s is conditional and specific to HUMAIN). Any country’s NPV rank is contingent on the named operator holding a valid licence/authorisation and meeting BIS security conditions — the model still holds chip access constant, so the India/Saudi ranks are conditional.</t>
  </si>
  <si>
    <t>▸  INPUTS</t>
  </si>
  <si>
    <t>High = primary/operator/regulator · Med = specialist aggregator · Low = disclosed judgment.</t>
  </si>
  <si>
    <t>Input</t>
  </si>
  <si>
    <t>Value / note</t>
  </si>
  <si>
    <t>Named source</t>
  </si>
  <si>
    <t>Vintage</t>
  </si>
  <si>
    <t>Source confidence</t>
  </si>
  <si>
    <t>Source link</t>
  </si>
  <si>
    <t>Facility build capex</t>
  </si>
  <si>
    <t>$17m/MW Base (band 13–24)</t>
  </si>
  <si>
    <t>AI liquid-cooled 2026 (ModulEdge/Epoch)</t>
  </si>
  <si>
    <t>2026</t>
  </si>
  <si>
    <t>Med</t>
  </si>
  <si>
    <t>https://epoch.ai/data-insights/ai-datacenter-cost-breakdown</t>
  </si>
  <si>
    <t>GPU + IT capex</t>
  </si>
  <si>
    <t>$42,000/single B200 GPU deployed (band $35–56k: DGX B200 ~$35–40k/GPU; HGX B200 ~$56k; card $40–50k)</t>
  </si>
  <si>
    <t>Mercatus B200 server price; Silicon Analysts B200 cost breakdown; NVIDIA DGX B200</t>
  </si>
  <si>
    <t>https://www.mercatus-ai.com/blog/b200-server-price</t>
  </si>
  <si>
    <t>GPUs per MW</t>
  </si>
  <si>
    <t>~600 GPU/MW (B200 1000W; HGX node ~13.3kW/8 → 1.667 kW/GPU)</t>
  </si>
  <si>
    <t>NVIDIA B200 / HGX B200 datasheet</t>
  </si>
  <si>
    <t>2025-26</t>
  </si>
  <si>
    <t>https://www.nvidia.com/en-us/data-center/hgx/</t>
  </si>
  <si>
    <t>PUE (country-varying)</t>
  </si>
  <si>
    <t>NO 1.15 / IE 1.20 / US 1.30 / SA 1.45 / IN 1.50</t>
  </si>
  <si>
    <t>LBNL 2024 US DC Energy Usage Report</t>
  </si>
  <si>
    <t>2024-26</t>
  </si>
  <si>
    <t>https://eta.lbl.gov/publications/2024-lbnl-data-center-energy-usage-report</t>
  </si>
  <si>
    <t>Compute price</t>
  </si>
  <si>
    <t>$5.70/GPU-hr Base P0 (committed 1-yr, today); band $4.00–$9.00 Bear→Bull; erodes ~20%/yr to full-cost floor</t>
  </si>
  <si>
    <t>Silicon Data SDB200RT index; getDeploying B200 committed panel (45 listings, 7-Aug-2026)</t>
  </si>
  <si>
    <t>High</t>
  </si>
  <si>
    <t>https://www.silicondata.com/products/silicon-index</t>
  </si>
  <si>
    <t>Utilization / occupancy</t>
  </si>
  <si>
    <t>88% contracted / 70% merchant</t>
  </si>
  <si>
    <t>CBRE DC vacancy ~1.4%, ~74% pre-leased</t>
  </si>
  <si>
    <t>Low</t>
  </si>
  <si>
    <t>https://www.cbre.com/insights/reports/global-data-center-trends-2026</t>
  </si>
  <si>
    <t>GPU economic life</t>
  </si>
  <si>
    <t>5 yr (Bear 3 / Bull 6)</t>
  </si>
  <si>
    <t>Hyperscaler 10-K (Amazon 5yr, Meta 5.5yr)</t>
  </si>
  <si>
    <t>https://thecuberesearch.com/298-breaking-analysis-resetting-gpu-depreciation</t>
  </si>
  <si>
    <t>Norway power / TTP / WACC</t>
  </si>
  <si>
    <t>$52/MWh · 2.0yr · 6.34%</t>
  </si>
  <si>
    <t>SSB; Statnett 2025; Damodaran 2026</t>
  </si>
  <si>
    <t>https://www.ssb.no/en/energi-og-industri</t>
  </si>
  <si>
    <t>US power / TTP / WACC</t>
  </si>
  <si>
    <t>$60/MWh · 4.5yr · 6.34%</t>
  </si>
  <si>
    <t>TTP=LBNL queue (uploaded, thru-2025): recent-cohort (online≥2019) median 4.5yr, p25 3.2/p75 5.8, N=1,297 operational; WACC per build-up</t>
  </si>
  <si>
    <t>https://emp.lbl.gov/queues</t>
  </si>
  <si>
    <t>India power / TTP / WACC</t>
  </si>
  <si>
    <t>$95/MWh · 3.0yr · 7.84% USD-nom</t>
  </si>
  <si>
    <t>GlobalPetrolPrices; Deccan Chronicle Jan-26; Damodaran</t>
  </si>
  <si>
    <t>https://www.deccanchronicle.com/business/latest/what-india-can-learn-from-the-us-about-data-centres-1973592</t>
  </si>
  <si>
    <t>Ireland power / TTP / WACC</t>
  </si>
  <si>
    <t>$150/MWh · 6.0yr · 6.84% USD-nom</t>
  </si>
  <si>
    <t>CRU/EirGrid Dec-2025 policy; Damodaran</t>
  </si>
  <si>
    <t>https://www.cru.ie/</t>
  </si>
  <si>
    <t>Saudi power / TTP / WACC</t>
  </si>
  <si>
    <t>$48/MWh · 2.0yr · 6.84% USD-nom</t>
  </si>
  <si>
    <t>SEC tariff; SERA framework (GT Jan-26); Damodaran</t>
  </si>
  <si>
    <t>https://www.gtlaw.com/en/insights/2026/1/saudi-arabias-data-centre-expansion-regulatory-framework-and-strategic-considerations</t>
  </si>
  <si>
    <t>Merchant WACC premium</t>
  </si>
  <si>
    <t>+4.5pp → ~11%</t>
  </si>
  <si>
    <t>Merchant-risk financing: equity 12–15% (merchant) vs 7–9% (contracted); debt +125–250bps (Apricum; Bracewell; IRENA 2023)</t>
  </si>
  <si>
    <t>https://www.irena.org/-/media/Files/IRENA/Agency/Publication/2023/May/IRENA_The_cost_of_financing_renewable_power_2023.pdf</t>
  </si>
  <si>
    <t>Idle-shell holding cost</t>
  </si>
  <si>
    <t>1.5%/yr facility capex during wait</t>
  </si>
  <si>
    <t>Blended: property tax + insurance + security/upkeep on a powered idle shell (decomposed on the Holding Cost tab: ~0.5%+0.4%+0.6%; reconciled by check)</t>
  </si>
  <si>
    <t>https://www.datacenterknowledge.com/business/managing-data-center-operating-expenses-the-property-tax-</t>
  </si>
  <si>
    <t>External anchor — all-in capex/MW</t>
  </si>
  <si>
    <t>$30–50m/MW independent band</t>
  </si>
  <si>
    <t>SemiAnalysis Blackwell server BOM + CBRE build cost</t>
  </si>
  <si>
    <t>https://semianalysis.com/2024/07/16/semianalysis-gb200-component-and/</t>
  </si>
  <si>
    <t>External anchor — revenue/MW/yr</t>
  </si>
  <si>
    <t>$15–40m/MW/yr independent band</t>
  </si>
  <si>
    <t>SemiAnalysis rental index × density; market colo</t>
  </si>
  <si>
    <t>https://newsletter.semianalysis.com/p/the-great-gpu-shortage-rental-capacity</t>
  </si>
  <si>
    <t>GPU specs/power (per accelerator)</t>
  </si>
  <si>
    <t>B200 1000W TDP, 192GB HBM3e, 8-GPU HGX node; ~600 GPU/MW at IT level (H100 700W/80GB &amp; GB200 1200W/NVL72 shown for reference)</t>
  </si>
  <si>
    <t>GPU rental price (compute price) — hyperscaler</t>
  </si>
  <si>
    <t>B200 committed 1-yr ≈ $5.71/GPU-hr (panel avg, 45 listings); reserved-low $3.35</t>
  </si>
  <si>
    <t>getDeploying B200 (7-Aug-2026); Silicon Data SDB200RT</t>
  </si>
  <si>
    <t>https://getdeploying.com/gpus/nvidia-b200</t>
  </si>
  <si>
    <t>GPU rental price (compute price) — neocloud</t>
  </si>
  <si>
    <t>B200 on-demand $6.85 (avg, 35) / spot $3.60 / custom $3.49</t>
  </si>
  <si>
    <t>getDeploying B200 daily snapshot (7-Aug-2026)</t>
  </si>
  <si>
    <t>Country risk premium (WACC build-up)</t>
  </si>
  <si>
    <t>Damodaran Jan-2026: CRP NO 0.00 / US 0.23 / IE 0.78 / SA 0.78 / IN 2.85%; mature ERP 4.23%</t>
  </si>
  <si>
    <t>Damodaran (NYU Stern) country risk premiums, Jan 2026</t>
  </si>
  <si>
    <t>https://pages.stern.nyu.edu/~adamodar/New_Home_Page/datafile/ctryprem.html</t>
  </si>
  <si>
    <t>USD risk-free (WACC build-up)</t>
  </si>
  <si>
    <t>US 10-yr 90-day avg 4.47% → USD rf 4.24% (less US default 0.23%); WACCs −0.16pp vs prior</t>
  </si>
  <si>
    <t>FRED DGS10 (uploaded, 1,249 daily obs to 03-Aug-2026)</t>
  </si>
  <si>
    <t>https://fred.stlouisfed.org/series/DGS10</t>
  </si>
  <si>
    <t>Wholesale power (Power build-up)</t>
  </si>
  <si>
    <t>IEA H1-2025: ERCOT ~$30, Nordics ~$40, EU ~$90/MWh</t>
  </si>
  <si>
    <t>IEA Electricity Mid-Year Update 2025</t>
  </si>
  <si>
    <t>2025</t>
  </si>
  <si>
    <t>https://www.iea.org/reports/electricity-mid-year-update-2025/prices-trends-in-wholesale-markets-differ-across-regions</t>
  </si>
  <si>
    <t>India wholesale power (Power build-up)</t>
  </si>
  <si>
    <t>IEX DAM 2025 ~₹4.2/kWh ≈ $49/MWh (Q2FY26 ₹3.93)</t>
  </si>
  <si>
    <t>Indian Energy Exchange (IEX) day-ahead market</t>
  </si>
  <si>
    <t>https://www.iexindia.com/market-data/day-ahead-market/market-snapshot</t>
  </si>
  <si>
    <t>Norway time-to-power</t>
  </si>
  <si>
    <t>2 yr median (Statnett register); Bear/Bull band = median × US-LBNL IQR (≈1.4–2.6 yr). Dispersion transferred (disclosed).</t>
  </si>
  <si>
    <t>GRID-OPERATOR REGISTER: Statnett connection-case register (tilknytningssaker — reserved capacity &amp; queue by region/category) + NVE concession database (project-level, dates); T1 Energy 50MW strong-node case. Register, not a lead-time distribution. Flag: 12.3 GW DC queue (165 apps) to 2033 → 2yr may be optimistic</t>
  </si>
  <si>
    <t>https://www.statnett.no/for-aktorer-i-kraftbransjen/nettkapasitet-til-produksjon-og-forbruk/foresporsler-og-reservasjon-i-nettet/</t>
  </si>
  <si>
    <t>US time-to-power</t>
  </si>
  <si>
    <t>4.5 yr Base (median; p25 3.2 / p75 5.8) — also the observed IQR (p75/median, p25/median) transferred to the other four countries’ TTP bands.</t>
  </si>
  <si>
    <t>LBNL 'Queued Up' (uploaded raw file): recent-cohort operational, N=1,297; live median/percentiles in the Interconnection Queue tab</t>
  </si>
  <si>
    <t>India time-to-power</t>
  </si>
  <si>
    <t>3 yr median (CTUIL register); band = median × US-LBNL IQR (≈2.1–3.9 yr). Dispersion transferred.</t>
  </si>
  <si>
    <t>GRID-OPERATOR REGISTER: CTUIL 'Applications Granted for Connectivity, LTA &amp; MTOA' — project-level (applicant/MW/POI/grant date); CEA grid-connectivity rules 2025/26; Navi Mumbai 100MW+ 18–36 mo corroborates. Register of grants, not a duration distribution</t>
  </si>
  <si>
    <t>https://www.ctuil.in/applications-granted</t>
  </si>
  <si>
    <t>Ireland time-to-power</t>
  </si>
  <si>
    <t>6 yr median (EirGrid register); band = median × US-LBNL IQR (≈4.2–7.8 yr). Upper tail likely fatter — CRU policy (disclosed).</t>
  </si>
  <si>
    <t>GRID-OPERATOR REGISTER: EirGrid 'Connected &amp; Contracted Generators' project list (generator/MW/connection status) + ECP ~48-mo batch policy (CRU Dec-2025 DC policy). Register of status, not a duration distribution. Flag: Base 6yr conservative vs the ~48-mo figure</t>
  </si>
  <si>
    <t>https://www.eirgrid.ie/industry/customer-information/connected-and-contracted-generators</t>
  </si>
  <si>
    <t>Saudi time-to-power</t>
  </si>
  <si>
    <t>2 yr median (SPPC register); band = median × US-LBNL IQR (≈1.4–2.6 yr). Dispersion transferred; thin register.</t>
  </si>
  <si>
    <t>SPPC IPP procurement pipeline (project awards/PPAs, dates) + SERA/MoEnergy grid-connection framework; National Grid SA (SEC subsidiary). No public connection queue — weakest of the five</t>
  </si>
  <si>
    <t>https://ippjournal.com/company/saudi-power-procurement-company-sppc</t>
  </si>
  <si>
    <t>Corporate &amp; property tax</t>
  </si>
  <si>
    <t>Corp: NO 22% / US 21% / IN 25% / IE 12.5% / SA 20%; Property 0.05–1.0%/yr (post-abatement)</t>
  </si>
  <si>
    <t>Statutory corporate rates — PwC Worldwide Tax Summaries; national property-tax schedules</t>
  </si>
  <si>
    <t>https://taxsummaries.pwc.com/</t>
  </si>
  <si>
    <t>Compute price decline (erosion)</t>
  </si>
  <si>
    <t>~20%/yr Base (Bear 30% / Bull 15%) — PROJECTION: B200 not yet in decline (appreciating +16–24% YoY); calibrated to realized H100 decline leg (~30%/yr)</t>
  </si>
  <si>
    <t>H100 realized lifecycle (Silicon Data / SemiAnalysis) as template</t>
  </si>
  <si>
    <t>https://www.silicondata.com/blog/b200-rental-price-march-2026-update</t>
  </si>
  <si>
    <t>Facility &amp; GPU salvage</t>
  </si>
  <si>
    <t>Facility 45% (durable powered shell + interconnection, 30+yr life) / GPU 10% (5-yr residual after value cascade) at exit</t>
  </si>
  <si>
    <t>CBRE data-centre trends/valuations (shell+M&amp;E ~$10–12m/MW); Hashrate Index + CITP Princeton (used-GPU secondary market)</t>
  </si>
  <si>
    <t>https://hashrateindex.com/blog/used-gpu-market-pricing-deprecation-secondary-ai/</t>
  </si>
  <si>
    <t>Ramp-up occupancy</t>
  </si>
  <si>
    <t>yr-1 65% / yr-2 85% of steady state (lease-up)</t>
  </si>
  <si>
    <t>Analyst estimate — data-centre lease-up / fill-rate ramp · Representative link: CBRE data-centre insights (lease-up / absorption); input is an analyst estimate, Low confidence — link is illustrative, not the sole origin.</t>
  </si>
  <si>
    <t>https://www.cbre.com/insights</t>
  </si>
  <si>
    <t>Fixed O&amp;M</t>
  </si>
  <si>
    <t>$0.7m/MW/yr (staff, water, maintenance, security)</t>
  </si>
  <si>
    <t>Data-centre opex benchmark (Uptime/CBRE-class); analyst estimate · Representative link: Uptime Institute research (DC operating-cost benchmarks); input is an analyst estimate, Low confidence — link is illustrative, not the sole origin.</t>
  </si>
  <si>
    <t>https://uptimeinstitute.com</t>
  </si>
  <si>
    <t>Compute price floor — market index</t>
  </si>
  <si>
    <t>B200 observed committed-floor band $2.50–3.00 (floor rising as intro/spot offers withdrawn)</t>
  </si>
  <si>
    <t>Silicon Data B200 index (SDB200RT) floor observations</t>
  </si>
  <si>
    <t>Compute price floor — cost decomposition</t>
  </si>
  <si>
    <t>neocloud all-in $/GPU-hr build-up (capex+power+O&amp;M+WACC); model full-cost floor $2.70</t>
  </si>
  <si>
    <t>Silicon Analysts / neocloud cost decomposition</t>
  </si>
  <si>
    <t>https://siliconanalysts.com/analysis/nvidia-b200-blackwell-cost-breakdown</t>
  </si>
  <si>
    <t>Compute price floor — mean-reversion</t>
  </si>
  <si>
    <t>Mean-reversion analog: H100 completed cycle trough $1.70 (Oct-2025) → rebound $2.35 (Mar-2026); B200 too young to have cycled</t>
  </si>
  <si>
    <t>Silicon Data / SemiAnalysis H100 committed series (lifecycle analog)</t>
  </si>
  <si>
    <t>Power delivered — observed all-in validation</t>
  </si>
  <si>
    <t>Norway 55 / US(Tx) 62 / India 92 / Ireland 155 / Saudi 50 $/MWh; delivered within ≤6%</t>
  </si>
  <si>
    <t>SSB; EIA (Texas); CEA/IEA; Eurostat; SERA/SEC</t>
  </si>
  <si>
    <t>Med-High</t>
  </si>
  <si>
    <t>https://ec.europa.eu/eurostat/databrowser/view/nrg_pc_205</t>
  </si>
  <si>
    <t>Grid carbon intensity (gCO2/kWh)</t>
  </si>
  <si>
    <t>NO 28 / US 384 / IN 670 / IE 290 / SA 590 (shown for context, not in NPV)</t>
  </si>
  <si>
    <t>Ember Global Electricity Review 2024-25; Ember US Electricity 2025; EEA (Ireland); IEA/Ember Middle East (Saudi)</t>
  </si>
  <si>
    <t>2024-25</t>
  </si>
  <si>
    <t>https://ember-energy.org/data/</t>
  </si>
  <si>
    <t>Chip access — US export controls (Blackwell)</t>
  </si>
  <si>
    <t>US/NO/IE unrestricted; Saudi conditional (HUMAIN, Nov-2025, RTE + cap); India licensed/capped; Diffusion Rule rescinded May-2025</t>
  </si>
  <si>
    <t>US Commerce (Nov-2025); BIS; IISS 2025-26</t>
  </si>
  <si>
    <t>https://www.commerce.gov/news/press-releases/2025/11/statement-uae-and-saudi-chip-exports</t>
  </si>
  <si>
    <t>Energy Security framework</t>
  </si>
  <si>
    <t>WEC World Energy Trilemma Index — Energy Security dimension (import independence, generation diversity, system stability)</t>
  </si>
  <si>
    <t>World Energy Council, World Energy Trilemma 2024</t>
  </si>
  <si>
    <t>2024</t>
  </si>
  <si>
    <t>https://www.worldenergy.org/transition-toolkit/world-energy-trilemma-framework</t>
  </si>
  <si>
    <t>Electricity generation mix (WETI diversity + firm share)</t>
  </si>
  <si>
    <t>NO 98% RE; US gas 43/nuclear 18/coal 15; IN coal 68; IE gas 41/wind 33; SA gas 63/oil 35</t>
  </si>
  <si>
    <t>Ember Global Electricity Review 2024 / 2025</t>
  </si>
  <si>
    <t>Energy self-sufficiency (WETI import independence)</t>
  </si>
  <si>
    <t>NO ~600% / US ~106% / SA ~200% (cap 100); IN ~60%; IE ~21%</t>
  </si>
  <si>
    <t>IEA / IEEJ energy self-sufficiency</t>
  </si>
  <si>
    <t>https://www.iea.org/</t>
  </si>
  <si>
    <t>Depreciation lives &amp; insurance</t>
  </si>
  <si>
    <t>Facility deprec: 45% shell @25yr + 55% fit-out/MEP @12yr (blended); GPU straight-line over 5yr life. Operating insurance 0.4%/yr of GPU capex.</t>
  </si>
  <si>
    <t>Conventional accounting useful lives (shell vs cooling/MEP); hyperscaler 10-K GPU lives; DC insurance broker benchmark (~0.3–0.5% of insured value). · Representative link: IRS Pub 946 (property depreciation / useful lives); accounting-convention input — link is illustrative, not the sole origin.</t>
  </si>
  <si>
    <t>https://www.irs.gov/publications/p946</t>
  </si>
  <si>
    <t>Export-control framework — advanced computing (ECCN 3A090.a)</t>
  </si>
  <si>
    <t>Blackwell/B200 licence-required to Country Groups D:1/D:4/D:5; presumption of denial for Tier-3 (China/Macau). Jan-2026 BIS final rule; BIS guidance 31-May-2026.</t>
  </si>
  <si>
    <t>US BIS, EAR §742.6 / advanced-computing rule + guidance</t>
  </si>
  <si>
    <t>https://www.bis.gov/media/documents/bis-guidance-may-31-2026.pdf</t>
  </si>
  <si>
    <t>Chip access — named operators / supply routes</t>
  </si>
  <si>
    <t>NO nScale Glomfjord (hydro, EEA); US domestic hyperscalers/neoclouds; IE EU hyperscalers (Dublin); IN Reliance (1 GW Gujarat)/Tata Communications/Yotta (20,736 Blackwell Ultra, live ~Aug-2026); SA HUMAIN (PIF).</t>
  </si>
  <si>
    <t>NVIDIA; DataCenterDynamics; nScale/InfraPartners</t>
  </si>
  <si>
    <t>https://www.datacenterdynamics.com/en/news/indian-companies-order-tens-of-1000s-of-nvidia-chips/</t>
  </si>
  <si>
    <t>Time-to-power dispersion (methodology)</t>
  </si>
  <si>
    <t>Non-US TTP bands = country median (own regulator) × US-LBNL observed IQR ratio (p75/median≈1.30, p25/median≈0.70). Assumes connection-time dispersion is broadly grid-invariant (disclosed). Ireland upper tail likely fatter (CRU policy).</t>
  </si>
  <si>
    <t>Derived from LBNL Queued Up (US) — dispersion transfer</t>
  </si>
  <si>
    <t>Shadow carbon price (carbon-adjusted lens)</t>
  </si>
  <si>
    <t>$190/tCO₂ Base (US EPA 2023 SC-GHG, 2020$, ~2% near-term); EU ETS ≈ $80/t alt. Context lens only — excluded from core NPV.</t>
  </si>
  <si>
    <t>US EPA Report on the Social Cost of Greenhouse Gases (2023)</t>
  </si>
  <si>
    <t>2023-26</t>
  </si>
  <si>
    <t>https://www.epa.gov/environmental-economics/scghg</t>
  </si>
  <si>
    <t>GPU rental price — Azure H100 (mature-generation analog)</t>
  </si>
  <si>
    <t>Azure H100 SXM by tier (on-demand / reserved 1-3-5yr / spot); context analog for the B200 lifecycle — feeds no P&amp;L.</t>
  </si>
  <si>
    <t>Microsoft Azure Retail Prices API</t>
  </si>
  <si>
    <t>https://prices.azure.com/api/retail/prices</t>
  </si>
  <si>
    <t>Source-reliability grading key (col E)</t>
  </si>
  <si>
    <t>Grades the RELIABILITY OF THE SOURCE behind each input — NOT statistical confidence. Ordinal source-quality rating (tier × vintage × directness). Quantitative uncertainty is carried SEPARATELY by the input bands (Bear/Base/Bull) and the Sensitivity tornado.</t>
  </si>
  <si>
    <t>Primary source (official statistics / regulator / grid operator / IEA / EIA / Ember / Damodaran / vendor datasheet), current vintage (2025–26), direct measure — used as published.</t>
  </si>
  <si>
    <t>Primary market data + a primary reference model (e.g. sovereign 10-yr yield + Damodaran country-risk premium). Stronger than Med, short of a single direct measure.</t>
  </si>
  <si>
    <t>Primary source needing adjustment/interpolation, OR a reputable specialist aggregator (SemiAnalysis / CBRE / JLL / Lazard), current vintage.</t>
  </si>
  <si>
    <t>Single secondary source, proxy, disclosed judgment residual, or definitional uncertainty. Directional and flagged as such (e.g. merchant occupancy, idle-shell holding cost, WACC project premium, power firming residual).</t>
  </si>
  <si>
    <t>GPU Specs — per accelerator (NVIDIA datasheets) · modelled generation: NVIDIA B200 (Blackwell, HGX)</t>
  </si>
  <si>
    <t>Primary spec data per single accelerator. B200 (HGX 8-GPU) is the modelled generation; H100 and GB200 NVL72 shown for reference/continuity.</t>
  </si>
  <si>
    <t>REFERENCE TAB — density (col F, B200 row) reconciled to Assumptions G12 by Checks r22; not live-linked.</t>
  </si>
  <si>
    <t>Specs — per accelerator (NVIDIA datasheets)</t>
  </si>
  <si>
    <t>GPU (accelerator)</t>
  </si>
  <si>
    <t>Power (W)</t>
  </si>
  <si>
    <t>Memory (GB)</t>
  </si>
  <si>
    <t>Per rack/board</t>
  </si>
  <si>
    <t>kW/rack</t>
  </si>
  <si>
    <t>Implied GPU/MW</t>
  </si>
  <si>
    <t>Source</t>
  </si>
  <si>
    <t>H100 SXM5 — prior-gen reference</t>
  </si>
  <si>
    <t>8 (HGX)</t>
  </si>
  <si>
    <t>—</t>
  </si>
  <si>
    <t>[17]</t>
  </si>
  <si>
    <t>B200 (HGX) — MODELLED</t>
  </si>
  <si>
    <t>GB200 (Blackwell, NVL72) — frontier reference (not modelled)</t>
  </si>
  <si>
    <t>72 (NVL72)</t>
  </si>
  <si>
    <t>B200 implied density = 1 MW ÷ (HGX node 13.3 kW ÷ 8 GPU = 1.667 kW/GPU) ≈ 600 GPU/MW → ties to Assumptions density (G12).</t>
  </si>
  <si>
    <t>Compute Price Data — $/GPU-hr evidence (NVIDIA B200, Blackwell)</t>
  </si>
  <si>
    <t>getDeploying B200 panel (7-Aug-2026, ~110 listings) + Silicon Data SDB200RT index are the primary basis. Azure H100 surface below is retained as the mature-generation analog (lifecycle &amp; floor template).</t>
  </si>
  <si>
    <t>REFERENCE TAB — observed $/GPU-hr envelope; the P0 inputs are checked against it (Checks r35/r36); not live-linked.</t>
  </si>
  <si>
    <t>H100 SXM by tier — mature-generation analog (AVERAGEIFS over the raw Azure table; continuity/floor template)  [48]</t>
  </si>
  <si>
    <t>Tier</t>
  </si>
  <si>
    <t>n (COUNTIFS)</t>
  </si>
  <si>
    <t>Mean $/GPU-hr</t>
  </si>
  <si>
    <t>On-demand</t>
  </si>
  <si>
    <t>[48]</t>
  </si>
  <si>
    <t>Reserved 1yr</t>
  </si>
  <si>
    <t>Reserved 3yr</t>
  </si>
  <si>
    <t>Reserved 5yr</t>
  </si>
  <si>
    <t>Spot</t>
  </si>
  <si>
    <t>getDeploying neocloud B200 by tier (7-Aug-2026) + Silicon Data SDB200RT  [19]</t>
  </si>
  <si>
    <t>Billing</t>
  </si>
  <si>
    <t>Listings</t>
  </si>
  <si>
    <t>Avg $/GPU-hr</t>
  </si>
  <si>
    <t>[18][19]</t>
  </si>
  <si>
    <t>Reserved / committed 1yr</t>
  </si>
  <si>
    <t>Custom contract</t>
  </si>
  <si>
    <t>Envelope for the compute-price check ($/GPU-hr) — B200</t>
  </si>
  <si>
    <t>Observed floor (B200 committed/spot low)</t>
  </si>
  <si>
    <t>[34]</t>
  </si>
  <si>
    <t>Realized ceiling (B200 on-demand high)</t>
  </si>
  <si>
    <t>[19]</t>
  </si>
  <si>
    <t>Model Base $5.70 (committed) must sit inside [floor 3.35, ceiling 8.20]  Floor band source [34].</t>
  </si>
  <si>
    <t>Azure raw price surface (H100, region × tier) — mature-generation analog reference</t>
  </si>
  <si>
    <t>Region</t>
  </si>
  <si>
    <t>australiaeast</t>
  </si>
  <si>
    <t>canadacentral</t>
  </si>
  <si>
    <t>centralus</t>
  </si>
  <si>
    <t>eastus</t>
  </si>
  <si>
    <t>eastus2</t>
  </si>
  <si>
    <t>japaneast</t>
  </si>
  <si>
    <t>japanwest</t>
  </si>
  <si>
    <t>koreacentral</t>
  </si>
  <si>
    <t>northcentralus</t>
  </si>
  <si>
    <t>polandcentral</t>
  </si>
  <si>
    <t>southafricanorth</t>
  </si>
  <si>
    <t>southafricawest</t>
  </si>
  <si>
    <t>southcentralus</t>
  </si>
  <si>
    <t>spaincentral</t>
  </si>
  <si>
    <t>swedencentral</t>
  </si>
  <si>
    <t>switzerlandnorth</t>
  </si>
  <si>
    <t>uaenorth</t>
  </si>
  <si>
    <t>uksouth</t>
  </si>
  <si>
    <t>usgovarizona</t>
  </si>
  <si>
    <t>westcentralus</t>
  </si>
  <si>
    <t>westeurope</t>
  </si>
  <si>
    <t>westus</t>
  </si>
  <si>
    <t>westus2</t>
  </si>
  <si>
    <t>westus3</t>
  </si>
  <si>
    <t>Source: Azure Retail Prices API (prices.azure.com/api/retail/prices), official Microsoft list pricing, no auth. Clickable link on the Sources tab. getDeploying neocloud summary retained for the realized tier.</t>
  </si>
  <si>
    <t>US Interconnection Queue — LBNL, recent operational cohort (uploaded raw)</t>
  </si>
  <si>
    <t>1297 operational US projects (online ≥2019) with a valid queue→online duration, from LBNL's 38,201-request dataset. US time-to-power (Bear/Base/Bull) is the LIVE median / p75 / p25 of the Duration column below.  Source: US time-to-power [25]; dispersion transfer to non-US [46].</t>
  </si>
  <si>
    <t>Base = MEDIAN duration (yr)</t>
  </si>
  <si>
    <t>Dispersion transfer (US-observed IQR → applied to non-US medians):</t>
  </si>
  <si>
    <t>Bear = 75th pct (slower, yr)</t>
  </si>
  <si>
    <t>p75 / median (hi)</t>
  </si>
  <si>
    <t>Bull = 25th pct (faster, yr)</t>
  </si>
  <si>
    <t>p25 / median (lo)</t>
  </si>
  <si>
    <t>q_id</t>
  </si>
  <si>
    <t>State</t>
  </si>
  <si>
    <t>Type</t>
  </si>
  <si>
    <t>Queue yr</t>
  </si>
  <si>
    <t>Online yr</t>
  </si>
  <si>
    <t>Duration (yr)</t>
  </si>
  <si>
    <t>1010</t>
  </si>
  <si>
    <t>CA</t>
  </si>
  <si>
    <t>Wind</t>
  </si>
  <si>
    <t>1016</t>
  </si>
  <si>
    <t>Gas</t>
  </si>
  <si>
    <t>1027</t>
  </si>
  <si>
    <t>Battery</t>
  </si>
  <si>
    <t>1036</t>
  </si>
  <si>
    <t>Solar</t>
  </si>
  <si>
    <t>1053</t>
  </si>
  <si>
    <t>AZ</t>
  </si>
  <si>
    <t>1097</t>
  </si>
  <si>
    <t>1103</t>
  </si>
  <si>
    <t>1109</t>
  </si>
  <si>
    <t>1111</t>
  </si>
  <si>
    <t>1117</t>
  </si>
  <si>
    <t>1136</t>
  </si>
  <si>
    <t>1170</t>
  </si>
  <si>
    <t>1189</t>
  </si>
  <si>
    <t>119</t>
  </si>
  <si>
    <t>1191</t>
  </si>
  <si>
    <t>1192</t>
  </si>
  <si>
    <t>1259</t>
  </si>
  <si>
    <t>1272</t>
  </si>
  <si>
    <t>1295</t>
  </si>
  <si>
    <t>1312</t>
  </si>
  <si>
    <t>1325</t>
  </si>
  <si>
    <t>1367</t>
  </si>
  <si>
    <t>1374</t>
  </si>
  <si>
    <t>1398</t>
  </si>
  <si>
    <t>1407</t>
  </si>
  <si>
    <t>1434</t>
  </si>
  <si>
    <t>1439</t>
  </si>
  <si>
    <t>1440</t>
  </si>
  <si>
    <t>1470</t>
  </si>
  <si>
    <t>1472</t>
  </si>
  <si>
    <t>1484</t>
  </si>
  <si>
    <t>1531</t>
  </si>
  <si>
    <t>1540</t>
  </si>
  <si>
    <t>159A</t>
  </si>
  <si>
    <t>MX</t>
  </si>
  <si>
    <t>1641</t>
  </si>
  <si>
    <t>1669</t>
  </si>
  <si>
    <t>1670</t>
  </si>
  <si>
    <t>1675</t>
  </si>
  <si>
    <t>1679</t>
  </si>
  <si>
    <t>1680</t>
  </si>
  <si>
    <t>1829</t>
  </si>
  <si>
    <t>1834</t>
  </si>
  <si>
    <t>189</t>
  </si>
  <si>
    <t>602</t>
  </si>
  <si>
    <t>643AJ</t>
  </si>
  <si>
    <t>705</t>
  </si>
  <si>
    <t>723</t>
  </si>
  <si>
    <t>838</t>
  </si>
  <si>
    <t>84</t>
  </si>
  <si>
    <t>93</t>
  </si>
  <si>
    <t>963</t>
  </si>
  <si>
    <t>965</t>
  </si>
  <si>
    <t>968</t>
  </si>
  <si>
    <t>994</t>
  </si>
  <si>
    <t>NV</t>
  </si>
  <si>
    <t>148</t>
  </si>
  <si>
    <t>FL</t>
  </si>
  <si>
    <t>149</t>
  </si>
  <si>
    <t>152</t>
  </si>
  <si>
    <t>154</t>
  </si>
  <si>
    <t>158</t>
  </si>
  <si>
    <t>160</t>
  </si>
  <si>
    <t>169</t>
  </si>
  <si>
    <t>173</t>
  </si>
  <si>
    <t>174</t>
  </si>
  <si>
    <t>190A</t>
  </si>
  <si>
    <t>194</t>
  </si>
  <si>
    <t>195</t>
  </si>
  <si>
    <t>199</t>
  </si>
  <si>
    <t>210</t>
  </si>
  <si>
    <t>235</t>
  </si>
  <si>
    <t>240</t>
  </si>
  <si>
    <t>242</t>
  </si>
  <si>
    <t>243</t>
  </si>
  <si>
    <t>253</t>
  </si>
  <si>
    <t>277</t>
  </si>
  <si>
    <t>281</t>
  </si>
  <si>
    <t>282</t>
  </si>
  <si>
    <t>285</t>
  </si>
  <si>
    <t>288</t>
  </si>
  <si>
    <t>295</t>
  </si>
  <si>
    <t>306</t>
  </si>
  <si>
    <t>318</t>
  </si>
  <si>
    <t>321</t>
  </si>
  <si>
    <t>330</t>
  </si>
  <si>
    <t>334</t>
  </si>
  <si>
    <t>345</t>
  </si>
  <si>
    <t>16227</t>
  </si>
  <si>
    <t>SC</t>
  </si>
  <si>
    <t>18124</t>
  </si>
  <si>
    <t>NC</t>
  </si>
  <si>
    <t>24751</t>
  </si>
  <si>
    <t>Nuclear</t>
  </si>
  <si>
    <t>63790</t>
  </si>
  <si>
    <t>64646</t>
  </si>
  <si>
    <t>64734</t>
  </si>
  <si>
    <t>64750</t>
  </si>
  <si>
    <t>64758</t>
  </si>
  <si>
    <t>8597</t>
  </si>
  <si>
    <t>8598</t>
  </si>
  <si>
    <t>203</t>
  </si>
  <si>
    <t>206</t>
  </si>
  <si>
    <t>248A</t>
  </si>
  <si>
    <t>253A</t>
  </si>
  <si>
    <t>255</t>
  </si>
  <si>
    <t>256</t>
  </si>
  <si>
    <t>262</t>
  </si>
  <si>
    <t>263</t>
  </si>
  <si>
    <t>264</t>
  </si>
  <si>
    <t>265</t>
  </si>
  <si>
    <t>266</t>
  </si>
  <si>
    <t>267</t>
  </si>
  <si>
    <t>269</t>
  </si>
  <si>
    <t>270</t>
  </si>
  <si>
    <t>273</t>
  </si>
  <si>
    <t>275</t>
  </si>
  <si>
    <t>278</t>
  </si>
  <si>
    <t>279</t>
  </si>
  <si>
    <t>286</t>
  </si>
  <si>
    <t>291</t>
  </si>
  <si>
    <t>292</t>
  </si>
  <si>
    <t>293</t>
  </si>
  <si>
    <t>294</t>
  </si>
  <si>
    <t>297</t>
  </si>
  <si>
    <t>300</t>
  </si>
  <si>
    <t>301</t>
  </si>
  <si>
    <t>302</t>
  </si>
  <si>
    <t>303</t>
  </si>
  <si>
    <t>315</t>
  </si>
  <si>
    <t>316</t>
  </si>
  <si>
    <t>328A</t>
  </si>
  <si>
    <t>328B</t>
  </si>
  <si>
    <t>336A</t>
  </si>
  <si>
    <t>337</t>
  </si>
  <si>
    <t>338</t>
  </si>
  <si>
    <t>348A</t>
  </si>
  <si>
    <t>348B</t>
  </si>
  <si>
    <t>350</t>
  </si>
  <si>
    <t>351</t>
  </si>
  <si>
    <t>352</t>
  </si>
  <si>
    <t>355</t>
  </si>
  <si>
    <t>356</t>
  </si>
  <si>
    <t>360A</t>
  </si>
  <si>
    <t>361</t>
  </si>
  <si>
    <t>362</t>
  </si>
  <si>
    <t>364</t>
  </si>
  <si>
    <t>365</t>
  </si>
  <si>
    <t>366</t>
  </si>
  <si>
    <t>366A</t>
  </si>
  <si>
    <t>366B</t>
  </si>
  <si>
    <t>366E</t>
  </si>
  <si>
    <t>367A</t>
  </si>
  <si>
    <t>369</t>
  </si>
  <si>
    <t>369B</t>
  </si>
  <si>
    <t>369C</t>
  </si>
  <si>
    <t>370</t>
  </si>
  <si>
    <t>371</t>
  </si>
  <si>
    <t>374</t>
  </si>
  <si>
    <t>375</t>
  </si>
  <si>
    <t>377</t>
  </si>
  <si>
    <t>378</t>
  </si>
  <si>
    <t>378A</t>
  </si>
  <si>
    <t>378B</t>
  </si>
  <si>
    <t>378D</t>
  </si>
  <si>
    <t>378G</t>
  </si>
  <si>
    <t>379</t>
  </si>
  <si>
    <t>380</t>
  </si>
  <si>
    <t>380A</t>
  </si>
  <si>
    <t>380B</t>
  </si>
  <si>
    <t>380C</t>
  </si>
  <si>
    <t>381</t>
  </si>
  <si>
    <t>399</t>
  </si>
  <si>
    <t>400</t>
  </si>
  <si>
    <t>401</t>
  </si>
  <si>
    <t>402</t>
  </si>
  <si>
    <t>403</t>
  </si>
  <si>
    <t>409</t>
  </si>
  <si>
    <t>416</t>
  </si>
  <si>
    <t>418</t>
  </si>
  <si>
    <t>419A</t>
  </si>
  <si>
    <t>422</t>
  </si>
  <si>
    <t>424C</t>
  </si>
  <si>
    <t>426</t>
  </si>
  <si>
    <t>467</t>
  </si>
  <si>
    <t>502</t>
  </si>
  <si>
    <t>ID</t>
  </si>
  <si>
    <t>503</t>
  </si>
  <si>
    <t>513</t>
  </si>
  <si>
    <t>514</t>
  </si>
  <si>
    <t>517</t>
  </si>
  <si>
    <t>523</t>
  </si>
  <si>
    <t>532</t>
  </si>
  <si>
    <t>OR</t>
  </si>
  <si>
    <t>548</t>
  </si>
  <si>
    <t>Hydro</t>
  </si>
  <si>
    <t>549</t>
  </si>
  <si>
    <t>Solar+Battery</t>
  </si>
  <si>
    <t>557</t>
  </si>
  <si>
    <t>567</t>
  </si>
  <si>
    <t>576</t>
  </si>
  <si>
    <t>Other</t>
  </si>
  <si>
    <t>610</t>
  </si>
  <si>
    <t>619</t>
  </si>
  <si>
    <t>621</t>
  </si>
  <si>
    <t>629</t>
  </si>
  <si>
    <t>651</t>
  </si>
  <si>
    <t>657</t>
  </si>
  <si>
    <t>702</t>
  </si>
  <si>
    <t>Q40</t>
  </si>
  <si>
    <t>G359R</t>
  </si>
  <si>
    <t>ND</t>
  </si>
  <si>
    <t>G736</t>
  </si>
  <si>
    <t>SD</t>
  </si>
  <si>
    <t>G934</t>
  </si>
  <si>
    <t>MI</t>
  </si>
  <si>
    <t>J041</t>
  </si>
  <si>
    <t>IA</t>
  </si>
  <si>
    <t>J1000</t>
  </si>
  <si>
    <t>WI</t>
  </si>
  <si>
    <t>J1002</t>
  </si>
  <si>
    <t>J1003</t>
  </si>
  <si>
    <t>J1022</t>
  </si>
  <si>
    <t>IL</t>
  </si>
  <si>
    <t>J1030</t>
  </si>
  <si>
    <t>TX</t>
  </si>
  <si>
    <t>J1050</t>
  </si>
  <si>
    <t>J1055</t>
  </si>
  <si>
    <t>J1142</t>
  </si>
  <si>
    <t>LA</t>
  </si>
  <si>
    <t>J1146</t>
  </si>
  <si>
    <t>AR</t>
  </si>
  <si>
    <t>Coal</t>
  </si>
  <si>
    <t>J1153</t>
  </si>
  <si>
    <t>J1181</t>
  </si>
  <si>
    <t>J1182</t>
  </si>
  <si>
    <t>MO</t>
  </si>
  <si>
    <t>J1183</t>
  </si>
  <si>
    <t>J1188</t>
  </si>
  <si>
    <t>J1194</t>
  </si>
  <si>
    <t>J1205</t>
  </si>
  <si>
    <t>J1249</t>
  </si>
  <si>
    <t>MS</t>
  </si>
  <si>
    <t>J1295</t>
  </si>
  <si>
    <t>IN</t>
  </si>
  <si>
    <t>J1304</t>
  </si>
  <si>
    <t>J1305</t>
  </si>
  <si>
    <t>J1319</t>
  </si>
  <si>
    <t>J1333</t>
  </si>
  <si>
    <t>J1334</t>
  </si>
  <si>
    <t>J1335</t>
  </si>
  <si>
    <t>J1347</t>
  </si>
  <si>
    <t>J1368</t>
  </si>
  <si>
    <t>J1372</t>
  </si>
  <si>
    <t>J1373</t>
  </si>
  <si>
    <t>J1396</t>
  </si>
  <si>
    <t>J1401</t>
  </si>
  <si>
    <t>J1425</t>
  </si>
  <si>
    <t>J1434</t>
  </si>
  <si>
    <t>J1436</t>
  </si>
  <si>
    <t>J1453</t>
  </si>
  <si>
    <t>J1454</t>
  </si>
  <si>
    <t>J1464</t>
  </si>
  <si>
    <t>J1734</t>
  </si>
  <si>
    <t>J1832</t>
  </si>
  <si>
    <t>J302</t>
  </si>
  <si>
    <t>J329</t>
  </si>
  <si>
    <t>J382</t>
  </si>
  <si>
    <t>J396</t>
  </si>
  <si>
    <t>J412</t>
  </si>
  <si>
    <t>J432</t>
  </si>
  <si>
    <t>J436</t>
  </si>
  <si>
    <t>J437</t>
  </si>
  <si>
    <t>J442</t>
  </si>
  <si>
    <t>J453</t>
  </si>
  <si>
    <t>J456</t>
  </si>
  <si>
    <t>J460</t>
  </si>
  <si>
    <t>MN</t>
  </si>
  <si>
    <t>J468</t>
  </si>
  <si>
    <t>J472</t>
  </si>
  <si>
    <t>J481</t>
  </si>
  <si>
    <t>J484</t>
  </si>
  <si>
    <t>J488</t>
  </si>
  <si>
    <t>J493</t>
  </si>
  <si>
    <t>J495</t>
  </si>
  <si>
    <t>J503</t>
  </si>
  <si>
    <t>J505</t>
  </si>
  <si>
    <t>J506</t>
  </si>
  <si>
    <t>J512</t>
  </si>
  <si>
    <t>J513</t>
  </si>
  <si>
    <t>J515</t>
  </si>
  <si>
    <t>J526</t>
  </si>
  <si>
    <t>J527</t>
  </si>
  <si>
    <t>J530</t>
  </si>
  <si>
    <t>J533</t>
  </si>
  <si>
    <t>J534</t>
  </si>
  <si>
    <t>J535</t>
  </si>
  <si>
    <t>J538</t>
  </si>
  <si>
    <t>J541</t>
  </si>
  <si>
    <t>J545</t>
  </si>
  <si>
    <t>J583</t>
  </si>
  <si>
    <t>J587</t>
  </si>
  <si>
    <t>J590</t>
  </si>
  <si>
    <t>J611</t>
  </si>
  <si>
    <t>J620</t>
  </si>
  <si>
    <t>J663</t>
  </si>
  <si>
    <t>J679</t>
  </si>
  <si>
    <t>J683</t>
  </si>
  <si>
    <t>J697</t>
  </si>
  <si>
    <t>J715</t>
  </si>
  <si>
    <t>J717</t>
  </si>
  <si>
    <t>J728</t>
  </si>
  <si>
    <t>J748</t>
  </si>
  <si>
    <t>J752</t>
  </si>
  <si>
    <t>J756</t>
  </si>
  <si>
    <t>J757</t>
  </si>
  <si>
    <t>J758</t>
  </si>
  <si>
    <t>J759</t>
  </si>
  <si>
    <t>J760</t>
  </si>
  <si>
    <t>J793</t>
  </si>
  <si>
    <t>J796</t>
  </si>
  <si>
    <t>J806</t>
  </si>
  <si>
    <t>J808</t>
  </si>
  <si>
    <t>J811</t>
  </si>
  <si>
    <t>J817</t>
  </si>
  <si>
    <t>J826</t>
  </si>
  <si>
    <t>J830</t>
  </si>
  <si>
    <t>J831</t>
  </si>
  <si>
    <t>J834</t>
  </si>
  <si>
    <t>J836</t>
  </si>
  <si>
    <t>J837</t>
  </si>
  <si>
    <t>J838</t>
  </si>
  <si>
    <t>J845</t>
  </si>
  <si>
    <t>J850</t>
  </si>
  <si>
    <t>J853</t>
  </si>
  <si>
    <t>J864</t>
  </si>
  <si>
    <t>J870</t>
  </si>
  <si>
    <t>J886</t>
  </si>
  <si>
    <t>J888</t>
  </si>
  <si>
    <t>J893</t>
  </si>
  <si>
    <t>J907</t>
  </si>
  <si>
    <t>J913</t>
  </si>
  <si>
    <t>J928</t>
  </si>
  <si>
    <t>J944</t>
  </si>
  <si>
    <t>J947</t>
  </si>
  <si>
    <t>J949</t>
  </si>
  <si>
    <t>J968</t>
  </si>
  <si>
    <t>234</t>
  </si>
  <si>
    <t>MT</t>
  </si>
  <si>
    <t>317</t>
  </si>
  <si>
    <t>341</t>
  </si>
  <si>
    <t>363</t>
  </si>
  <si>
    <t>398</t>
  </si>
  <si>
    <t>410</t>
  </si>
  <si>
    <t>411</t>
  </si>
  <si>
    <t>414</t>
  </si>
  <si>
    <t>443</t>
  </si>
  <si>
    <t>444</t>
  </si>
  <si>
    <t>387</t>
  </si>
  <si>
    <t>NY</t>
  </si>
  <si>
    <t>395</t>
  </si>
  <si>
    <t>396</t>
  </si>
  <si>
    <t>Gas+Oil</t>
  </si>
  <si>
    <t>421</t>
  </si>
  <si>
    <t>461</t>
  </si>
  <si>
    <t>462</t>
  </si>
  <si>
    <t>477</t>
  </si>
  <si>
    <t>510</t>
  </si>
  <si>
    <t>NJ</t>
  </si>
  <si>
    <t>531</t>
  </si>
  <si>
    <t>546</t>
  </si>
  <si>
    <t>579</t>
  </si>
  <si>
    <t>678</t>
  </si>
  <si>
    <t>682</t>
  </si>
  <si>
    <t>696</t>
  </si>
  <si>
    <t>701</t>
  </si>
  <si>
    <t>730</t>
  </si>
  <si>
    <t>731</t>
  </si>
  <si>
    <t>735</t>
  </si>
  <si>
    <t>748</t>
  </si>
  <si>
    <t>759</t>
  </si>
  <si>
    <t>768</t>
  </si>
  <si>
    <t>769</t>
  </si>
  <si>
    <t>775</t>
  </si>
  <si>
    <t>201703</t>
  </si>
  <si>
    <t>201704</t>
  </si>
  <si>
    <t>201902</t>
  </si>
  <si>
    <t>AA1-018</t>
  </si>
  <si>
    <t>AA1-044</t>
  </si>
  <si>
    <t>PA</t>
  </si>
  <si>
    <t>AA1-065</t>
  </si>
  <si>
    <t>AA1-076</t>
  </si>
  <si>
    <t>AA1-077</t>
  </si>
  <si>
    <t>AA1-095</t>
  </si>
  <si>
    <t>MD</t>
  </si>
  <si>
    <t>AA1-123</t>
  </si>
  <si>
    <t>OH</t>
  </si>
  <si>
    <t>AA1-146</t>
  </si>
  <si>
    <t>AA2-030</t>
  </si>
  <si>
    <t>AA2-048</t>
  </si>
  <si>
    <t>AA2-053</t>
  </si>
  <si>
    <t>AA2-057</t>
  </si>
  <si>
    <t>AA2-060</t>
  </si>
  <si>
    <t>AA2-061</t>
  </si>
  <si>
    <t>AA2-082</t>
  </si>
  <si>
    <t>AA2-115</t>
  </si>
  <si>
    <t>AA2-116</t>
  </si>
  <si>
    <t>AA2-133</t>
  </si>
  <si>
    <t>AA2-165</t>
  </si>
  <si>
    <t>AA2-173</t>
  </si>
  <si>
    <t>AA2-174</t>
  </si>
  <si>
    <t>AA2-178</t>
  </si>
  <si>
    <t>AA2-184</t>
  </si>
  <si>
    <t>AB1-001</t>
  </si>
  <si>
    <t>AB1-014</t>
  </si>
  <si>
    <t>AB1-027</t>
  </si>
  <si>
    <t>VA</t>
  </si>
  <si>
    <t>AB1-033</t>
  </si>
  <si>
    <t>Diesel</t>
  </si>
  <si>
    <t>AB1-081</t>
  </si>
  <si>
    <t>AB1-096</t>
  </si>
  <si>
    <t>AB1-112</t>
  </si>
  <si>
    <t>AB1-122</t>
  </si>
  <si>
    <t>AB1-124</t>
  </si>
  <si>
    <t>AB1-125</t>
  </si>
  <si>
    <t>AB1-127</t>
  </si>
  <si>
    <t>AB1-128</t>
  </si>
  <si>
    <t>AB1-132</t>
  </si>
  <si>
    <t>AB1-138</t>
  </si>
  <si>
    <t>AB1-141</t>
  </si>
  <si>
    <t>AB1-142</t>
  </si>
  <si>
    <t>AB1-150</t>
  </si>
  <si>
    <t>WV</t>
  </si>
  <si>
    <t>AB1-160</t>
  </si>
  <si>
    <t>AB1-163</t>
  </si>
  <si>
    <t>AB1-173</t>
  </si>
  <si>
    <t>AB1-173A</t>
  </si>
  <si>
    <t>AB2-022</t>
  </si>
  <si>
    <t>AB2-031</t>
  </si>
  <si>
    <t>AB2-032</t>
  </si>
  <si>
    <t>AB2-040</t>
  </si>
  <si>
    <t>AB2-043</t>
  </si>
  <si>
    <t>AB2-047</t>
  </si>
  <si>
    <t>AB2-049</t>
  </si>
  <si>
    <t>AB2-059</t>
  </si>
  <si>
    <t>AB2-060</t>
  </si>
  <si>
    <t>AB2-067</t>
  </si>
  <si>
    <t>AB2-070</t>
  </si>
  <si>
    <t>AB2-077</t>
  </si>
  <si>
    <t>AB2-078</t>
  </si>
  <si>
    <t>AB2-079</t>
  </si>
  <si>
    <t>AB2-093</t>
  </si>
  <si>
    <t>AB2-097</t>
  </si>
  <si>
    <t>AB2-099</t>
  </si>
  <si>
    <t>AB2-100</t>
  </si>
  <si>
    <t>AB2-112</t>
  </si>
  <si>
    <t>AB2-134</t>
  </si>
  <si>
    <t>AB2-135</t>
  </si>
  <si>
    <t>AB2-153</t>
  </si>
  <si>
    <t>AB2-157</t>
  </si>
  <si>
    <t>AB2-158</t>
  </si>
  <si>
    <t>AB2-161</t>
  </si>
  <si>
    <t>AB2-169</t>
  </si>
  <si>
    <t>AB2-170</t>
  </si>
  <si>
    <t>AB2-172</t>
  </si>
  <si>
    <t>AB2-174</t>
  </si>
  <si>
    <t>AB2-179</t>
  </si>
  <si>
    <t>DE</t>
  </si>
  <si>
    <t>AB2-190</t>
  </si>
  <si>
    <t>AB2-191</t>
  </si>
  <si>
    <t>AC1-001</t>
  </si>
  <si>
    <t>AC1-008</t>
  </si>
  <si>
    <t>AC1-017</t>
  </si>
  <si>
    <t>AC1-025</t>
  </si>
  <si>
    <t>AC1-033</t>
  </si>
  <si>
    <t>AC1-036</t>
  </si>
  <si>
    <t>AC1-042</t>
  </si>
  <si>
    <t>AC1-044</t>
  </si>
  <si>
    <t>AC1-053</t>
  </si>
  <si>
    <t>AC1-054</t>
  </si>
  <si>
    <t>AC1-068</t>
  </si>
  <si>
    <t>AC1-069</t>
  </si>
  <si>
    <t>AC1-074</t>
  </si>
  <si>
    <t>KY</t>
  </si>
  <si>
    <t>AC1-075</t>
  </si>
  <si>
    <t>AC1-076</t>
  </si>
  <si>
    <t>AC1-078</t>
  </si>
  <si>
    <t>AC1-080</t>
  </si>
  <si>
    <t>AC1-083</t>
  </si>
  <si>
    <t>AC1-085</t>
  </si>
  <si>
    <t>AC1-087</t>
  </si>
  <si>
    <t>AC1-089</t>
  </si>
  <si>
    <t>AC1-098</t>
  </si>
  <si>
    <t>AC1-099</t>
  </si>
  <si>
    <t>AC1-105</t>
  </si>
  <si>
    <t>AC1-108</t>
  </si>
  <si>
    <t>AC1-109</t>
  </si>
  <si>
    <t>AC1-110</t>
  </si>
  <si>
    <t>AC1-111</t>
  </si>
  <si>
    <t>AC1-113</t>
  </si>
  <si>
    <t>AC1-114</t>
  </si>
  <si>
    <t>AC1-122</t>
  </si>
  <si>
    <t>AC1-123</t>
  </si>
  <si>
    <t>AC1-141</t>
  </si>
  <si>
    <t>AC1-142A</t>
  </si>
  <si>
    <t>AC1-145</t>
  </si>
  <si>
    <t>AC1-147</t>
  </si>
  <si>
    <t>AC1-152</t>
  </si>
  <si>
    <t>AC1-158</t>
  </si>
  <si>
    <t>AC1-161</t>
  </si>
  <si>
    <t>AC1-165</t>
  </si>
  <si>
    <t>AC1-166</t>
  </si>
  <si>
    <t>AC1-172</t>
  </si>
  <si>
    <t>AC1-173</t>
  </si>
  <si>
    <t>AC1-174</t>
  </si>
  <si>
    <t>AC1-175</t>
  </si>
  <si>
    <t>AC1-182</t>
  </si>
  <si>
    <t>AC1-204</t>
  </si>
  <si>
    <t>AC1-207</t>
  </si>
  <si>
    <t>AC1-214</t>
  </si>
  <si>
    <t>AC1-216</t>
  </si>
  <si>
    <t>AC1-221</t>
  </si>
  <si>
    <t>AC1-222</t>
  </si>
  <si>
    <t>AC2-012</t>
  </si>
  <si>
    <t>AC2-016</t>
  </si>
  <si>
    <t>AC2-017</t>
  </si>
  <si>
    <t>AC2-059</t>
  </si>
  <si>
    <t>AC2-060</t>
  </si>
  <si>
    <t>AC2-061</t>
  </si>
  <si>
    <t>AC2-066</t>
  </si>
  <si>
    <t>AC2-075</t>
  </si>
  <si>
    <t>AC2-084</t>
  </si>
  <si>
    <t>AC2-088</t>
  </si>
  <si>
    <t>AC2-090</t>
  </si>
  <si>
    <t>AC2-092</t>
  </si>
  <si>
    <t>AC2-100</t>
  </si>
  <si>
    <t>AC2-115</t>
  </si>
  <si>
    <t>AC2-116</t>
  </si>
  <si>
    <t>AC2-117</t>
  </si>
  <si>
    <t>AC2-120</t>
  </si>
  <si>
    <t>AC2-123</t>
  </si>
  <si>
    <t>AC2-125</t>
  </si>
  <si>
    <t>AC2-126</t>
  </si>
  <si>
    <t>AC2-137</t>
  </si>
  <si>
    <t>AC2-138</t>
  </si>
  <si>
    <t>AC2-142</t>
  </si>
  <si>
    <t>AC2-168</t>
  </si>
  <si>
    <t>AC2-175</t>
  </si>
  <si>
    <t>AC2-176</t>
  </si>
  <si>
    <t>AD1-017</t>
  </si>
  <si>
    <t>AD1-020</t>
  </si>
  <si>
    <t>AD1-033</t>
  </si>
  <si>
    <t>AD1-037</t>
  </si>
  <si>
    <t>AD1-041</t>
  </si>
  <si>
    <t>AD1-052</t>
  </si>
  <si>
    <t>AD1-054</t>
  </si>
  <si>
    <t>AD1-055</t>
  </si>
  <si>
    <t>AD1-058</t>
  </si>
  <si>
    <t>AD1-060</t>
  </si>
  <si>
    <t>AD1-061</t>
  </si>
  <si>
    <t>AD1-067</t>
  </si>
  <si>
    <t>AD1-072</t>
  </si>
  <si>
    <t>AD1-073</t>
  </si>
  <si>
    <t>AD1-081</t>
  </si>
  <si>
    <t>AD1-082</t>
  </si>
  <si>
    <t>AD1-087</t>
  </si>
  <si>
    <t>AD1-097</t>
  </si>
  <si>
    <t>AD1-101</t>
  </si>
  <si>
    <t>AD1-114</t>
  </si>
  <si>
    <t>AD1-118</t>
  </si>
  <si>
    <t>AD1-119</t>
  </si>
  <si>
    <t>AD1-130</t>
  </si>
  <si>
    <t>AD1-131</t>
  </si>
  <si>
    <t>AD1-135</t>
  </si>
  <si>
    <t>AD1-136</t>
  </si>
  <si>
    <t>AD1-144</t>
  </si>
  <si>
    <t>AD1-152</t>
  </si>
  <si>
    <t>AD1-155</t>
  </si>
  <si>
    <t>AD2-001</t>
  </si>
  <si>
    <t>AD2-009</t>
  </si>
  <si>
    <t>AD2-016</t>
  </si>
  <si>
    <t>AD2-021</t>
  </si>
  <si>
    <t>AD2-027</t>
  </si>
  <si>
    <t>AD2-030</t>
  </si>
  <si>
    <t>AD2-031</t>
  </si>
  <si>
    <t>AD2-035</t>
  </si>
  <si>
    <t>AD2-042</t>
  </si>
  <si>
    <t>AD2-044</t>
  </si>
  <si>
    <t>AD2-058</t>
  </si>
  <si>
    <t>AD2-065</t>
  </si>
  <si>
    <t>AD2-070</t>
  </si>
  <si>
    <t>AD2-073</t>
  </si>
  <si>
    <t>AD2-079</t>
  </si>
  <si>
    <t>AD2-086</t>
  </si>
  <si>
    <t>AD2-097</t>
  </si>
  <si>
    <t>AD2-110</t>
  </si>
  <si>
    <t>AD2-112</t>
  </si>
  <si>
    <t>AD2-113</t>
  </si>
  <si>
    <t>AD2-115</t>
  </si>
  <si>
    <t>AD2-116</t>
  </si>
  <si>
    <t>AD2-133</t>
  </si>
  <si>
    <t>AD2-160</t>
  </si>
  <si>
    <t>AD2-163</t>
  </si>
  <si>
    <t>AD2-166</t>
  </si>
  <si>
    <t>AD2-172</t>
  </si>
  <si>
    <t>AD2-180</t>
  </si>
  <si>
    <t>AD2-189</t>
  </si>
  <si>
    <t>AD2-202</t>
  </si>
  <si>
    <t>AD2-205</t>
  </si>
  <si>
    <t>AD2-213</t>
  </si>
  <si>
    <t>AE1-001</t>
  </si>
  <si>
    <t>AE1-021</t>
  </si>
  <si>
    <t>AE1-035</t>
  </si>
  <si>
    <t>AE1-039</t>
  </si>
  <si>
    <t>AE1-040</t>
  </si>
  <si>
    <t>AE1-041</t>
  </si>
  <si>
    <t>AE1-050</t>
  </si>
  <si>
    <t>AE1-060</t>
  </si>
  <si>
    <t>AE1-071</t>
  </si>
  <si>
    <t>AE1-075</t>
  </si>
  <si>
    <t>AE1-081</t>
  </si>
  <si>
    <t>AE1-086</t>
  </si>
  <si>
    <t>AE1-090</t>
  </si>
  <si>
    <t>AE1-100</t>
  </si>
  <si>
    <t>AE1-101</t>
  </si>
  <si>
    <t>AE1-109</t>
  </si>
  <si>
    <t>AE1-123</t>
  </si>
  <si>
    <t>AE1-134</t>
  </si>
  <si>
    <t>AE1-142</t>
  </si>
  <si>
    <t>AE1-155</t>
  </si>
  <si>
    <t>AE1-156</t>
  </si>
  <si>
    <t>AE1-162</t>
  </si>
  <si>
    <t>AE1-175</t>
  </si>
  <si>
    <t>AE1-176</t>
  </si>
  <si>
    <t>AE1-178</t>
  </si>
  <si>
    <t>AE1-185</t>
  </si>
  <si>
    <t>AE1-190</t>
  </si>
  <si>
    <t>AE1-191</t>
  </si>
  <si>
    <t>AE1-196</t>
  </si>
  <si>
    <t>AE2-010</t>
  </si>
  <si>
    <t>AE2-035</t>
  </si>
  <si>
    <t>AE2-042</t>
  </si>
  <si>
    <t>AE2-054</t>
  </si>
  <si>
    <t>AE2-059</t>
  </si>
  <si>
    <t>AE2-060</t>
  </si>
  <si>
    <t>AE2-062</t>
  </si>
  <si>
    <t>AE2-064</t>
  </si>
  <si>
    <t>AE2-065</t>
  </si>
  <si>
    <t>AE2-071</t>
  </si>
  <si>
    <t>AE2-072</t>
  </si>
  <si>
    <t>AE2-114</t>
  </si>
  <si>
    <t>AE2-115</t>
  </si>
  <si>
    <t>AE2-125</t>
  </si>
  <si>
    <t>AE2-126</t>
  </si>
  <si>
    <t>AE2-129</t>
  </si>
  <si>
    <t>AE2-133</t>
  </si>
  <si>
    <t>AE2-148</t>
  </si>
  <si>
    <t>AE2-155</t>
  </si>
  <si>
    <t>AE2-176</t>
  </si>
  <si>
    <t>AE2-181</t>
  </si>
  <si>
    <t>AE2-183</t>
  </si>
  <si>
    <t>AE2-184</t>
  </si>
  <si>
    <t>AE2-206</t>
  </si>
  <si>
    <t>AE2-224</t>
  </si>
  <si>
    <t>AE2-230</t>
  </si>
  <si>
    <t>AE2-253</t>
  </si>
  <si>
    <t>AE2-254</t>
  </si>
  <si>
    <t>AE2-272</t>
  </si>
  <si>
    <t>AE2-282</t>
  </si>
  <si>
    <t>AE2-297</t>
  </si>
  <si>
    <t>AE2-309</t>
  </si>
  <si>
    <t>AE2-315</t>
  </si>
  <si>
    <t>AE2-346</t>
  </si>
  <si>
    <t>AF1-006</t>
  </si>
  <si>
    <t>AF1-019</t>
  </si>
  <si>
    <t>AF1-021</t>
  </si>
  <si>
    <t>AF1-022</t>
  </si>
  <si>
    <t>AF1-032</t>
  </si>
  <si>
    <t>AF1-039</t>
  </si>
  <si>
    <t>AF1-041</t>
  </si>
  <si>
    <t>AF1-051</t>
  </si>
  <si>
    <t>AF1-058</t>
  </si>
  <si>
    <t>AF1-078</t>
  </si>
  <si>
    <t>AF1-120</t>
  </si>
  <si>
    <t>AF1-150</t>
  </si>
  <si>
    <t>AF1-158</t>
  </si>
  <si>
    <t>AF1-177</t>
  </si>
  <si>
    <t>AF1-178</t>
  </si>
  <si>
    <t>Oil</t>
  </si>
  <si>
    <t>AF1-179</t>
  </si>
  <si>
    <t>AF1-180</t>
  </si>
  <si>
    <t>AF1-181</t>
  </si>
  <si>
    <t>AF1-182</t>
  </si>
  <si>
    <t>AF1-183</t>
  </si>
  <si>
    <t>AF1-184</t>
  </si>
  <si>
    <t>AF1-185</t>
  </si>
  <si>
    <t>AF1-186</t>
  </si>
  <si>
    <t>AF1-187</t>
  </si>
  <si>
    <t>AF1-188</t>
  </si>
  <si>
    <t>AF1-189</t>
  </si>
  <si>
    <t>AF1-190</t>
  </si>
  <si>
    <t>AF1-191</t>
  </si>
  <si>
    <t>AF1-192</t>
  </si>
  <si>
    <t>AF1-193</t>
  </si>
  <si>
    <t>AF1-194</t>
  </si>
  <si>
    <t>AF1-198</t>
  </si>
  <si>
    <t>AF1-199</t>
  </si>
  <si>
    <t>AF1-203</t>
  </si>
  <si>
    <t>AF1-215</t>
  </si>
  <si>
    <t>AF1-227</t>
  </si>
  <si>
    <t>AF1-249</t>
  </si>
  <si>
    <t>AF1-290</t>
  </si>
  <si>
    <t>AF1-291A</t>
  </si>
  <si>
    <t>AF1-299</t>
  </si>
  <si>
    <t>AF1-300</t>
  </si>
  <si>
    <t>AF2-043</t>
  </si>
  <si>
    <t>AF2-054</t>
  </si>
  <si>
    <t>AF2-075</t>
  </si>
  <si>
    <t>AF2-077</t>
  </si>
  <si>
    <t>AF2-085</t>
  </si>
  <si>
    <t>AF2-103</t>
  </si>
  <si>
    <t>AF2-130</t>
  </si>
  <si>
    <t>AF2-134</t>
  </si>
  <si>
    <t>AF2-138</t>
  </si>
  <si>
    <t>AF2-139</t>
  </si>
  <si>
    <t>AF2-144</t>
  </si>
  <si>
    <t>AF2-154</t>
  </si>
  <si>
    <t>AF2-156</t>
  </si>
  <si>
    <t>AF2-165</t>
  </si>
  <si>
    <t>AF2-168</t>
  </si>
  <si>
    <t>Solar+Gas</t>
  </si>
  <si>
    <t>AF2-247</t>
  </si>
  <si>
    <t>AF2-250</t>
  </si>
  <si>
    <t>AF2-395</t>
  </si>
  <si>
    <t>AF2-436</t>
  </si>
  <si>
    <t>AF2-437</t>
  </si>
  <si>
    <t>AG1-044</t>
  </si>
  <si>
    <t>AG1-063</t>
  </si>
  <si>
    <t>AG1-145</t>
  </si>
  <si>
    <t>AG1-148</t>
  </si>
  <si>
    <t>AG1-348</t>
  </si>
  <si>
    <t>AG1-360</t>
  </si>
  <si>
    <t>AG1-386</t>
  </si>
  <si>
    <t>AG2-050</t>
  </si>
  <si>
    <t>O29</t>
  </si>
  <si>
    <t>S14</t>
  </si>
  <si>
    <t>U2-072</t>
  </si>
  <si>
    <t>V3-007</t>
  </si>
  <si>
    <t>V3-028</t>
  </si>
  <si>
    <t>W1-045</t>
  </si>
  <si>
    <t>W3-044</t>
  </si>
  <si>
    <t>W3-077</t>
  </si>
  <si>
    <t>W4-073</t>
  </si>
  <si>
    <t>X3-008</t>
  </si>
  <si>
    <t>X4-046</t>
  </si>
  <si>
    <t>DC</t>
  </si>
  <si>
    <t>Y2-042</t>
  </si>
  <si>
    <t>Y3-025</t>
  </si>
  <si>
    <t>Y3-103</t>
  </si>
  <si>
    <t>Z1-036</t>
  </si>
  <si>
    <t>Z1-068</t>
  </si>
  <si>
    <t>Offshore Wind</t>
  </si>
  <si>
    <t>Z1-069</t>
  </si>
  <si>
    <t>Z2-076</t>
  </si>
  <si>
    <t>Z2-077</t>
  </si>
  <si>
    <t>Z2-087</t>
  </si>
  <si>
    <t>Z2-104</t>
  </si>
  <si>
    <t>46</t>
  </si>
  <si>
    <t>WA</t>
  </si>
  <si>
    <t>Q21</t>
  </si>
  <si>
    <t>Q23</t>
  </si>
  <si>
    <t>Q46</t>
  </si>
  <si>
    <t>Q55</t>
  </si>
  <si>
    <t>IC-1114</t>
  </si>
  <si>
    <t>AL</t>
  </si>
  <si>
    <t>IC-1177</t>
  </si>
  <si>
    <t>GA</t>
  </si>
  <si>
    <t>IC-236</t>
  </si>
  <si>
    <t>IC-469</t>
  </si>
  <si>
    <t>IC-730</t>
  </si>
  <si>
    <t>IC-732</t>
  </si>
  <si>
    <t>IC-733</t>
  </si>
  <si>
    <t>IC-742</t>
  </si>
  <si>
    <t>IC-743</t>
  </si>
  <si>
    <t>IC-760</t>
  </si>
  <si>
    <t>IC-803</t>
  </si>
  <si>
    <t>IC-859</t>
  </si>
  <si>
    <t>IC-882</t>
  </si>
  <si>
    <t>IC-892</t>
  </si>
  <si>
    <t>GEN-2006-044</t>
  </si>
  <si>
    <t>GEN-2010-005</t>
  </si>
  <si>
    <t>KS</t>
  </si>
  <si>
    <t>GEN-2010-014</t>
  </si>
  <si>
    <t>GEN-2011-022</t>
  </si>
  <si>
    <t>GEN-2012-020</t>
  </si>
  <si>
    <t>GEN-2013-016</t>
  </si>
  <si>
    <t>GEN-2014-001</t>
  </si>
  <si>
    <t>GEN-2014-001IS</t>
  </si>
  <si>
    <t>GEN-2014-035</t>
  </si>
  <si>
    <t>NM</t>
  </si>
  <si>
    <t>GEN-2015-007</t>
  </si>
  <si>
    <t>NE</t>
  </si>
  <si>
    <t>GEN-2015-013</t>
  </si>
  <si>
    <t>OK</t>
  </si>
  <si>
    <t>GEN-2015-016</t>
  </si>
  <si>
    <t>GEN-2015-021</t>
  </si>
  <si>
    <t>GEN-2015-023</t>
  </si>
  <si>
    <t>GEN-2015-034</t>
  </si>
  <si>
    <t>GEN-2015-036</t>
  </si>
  <si>
    <t>GEN-2015-041</t>
  </si>
  <si>
    <t>GEN-2015-045</t>
  </si>
  <si>
    <t>GEN-2015-046</t>
  </si>
  <si>
    <t>GEN-2015-048</t>
  </si>
  <si>
    <t>GEN-2015-052</t>
  </si>
  <si>
    <t>GEN-2015-062</t>
  </si>
  <si>
    <t>GEN-2015-064</t>
  </si>
  <si>
    <t>GEN-2015-065</t>
  </si>
  <si>
    <t>GEN-2015-073</t>
  </si>
  <si>
    <t>GEN-2015-082</t>
  </si>
  <si>
    <t>GEN-2015-088</t>
  </si>
  <si>
    <t>GEN-2015-089</t>
  </si>
  <si>
    <t>GEN-2016-003</t>
  </si>
  <si>
    <t>GEN-2016-009</t>
  </si>
  <si>
    <t>GEN-2016-013</t>
  </si>
  <si>
    <t>GEN-2016-014</t>
  </si>
  <si>
    <t>GEN-2016-017</t>
  </si>
  <si>
    <t>GEN-2016-020</t>
  </si>
  <si>
    <t>GEN-2016-021</t>
  </si>
  <si>
    <t>GEN-2016-022</t>
  </si>
  <si>
    <t>GEN-2016-028</t>
  </si>
  <si>
    <t>GEN-2016-032</t>
  </si>
  <si>
    <t>GEN-2016-037</t>
  </si>
  <si>
    <t>GEN-2016-043</t>
  </si>
  <si>
    <t>GEN-2016-045</t>
  </si>
  <si>
    <t>GEN-2016-046</t>
  </si>
  <si>
    <t>GEN-2016-050</t>
  </si>
  <si>
    <t>GEN-2016-051</t>
  </si>
  <si>
    <t>GEN-2016-057</t>
  </si>
  <si>
    <t>GEN-2016-061</t>
  </si>
  <si>
    <t>GEN-2016-067</t>
  </si>
  <si>
    <t>GEN-2016-068</t>
  </si>
  <si>
    <t>GEN-2016-070</t>
  </si>
  <si>
    <t>GEN-2016-091</t>
  </si>
  <si>
    <t>GEN-2016-094</t>
  </si>
  <si>
    <t>GEN-2016-095</t>
  </si>
  <si>
    <t>GEN-2016-097</t>
  </si>
  <si>
    <t>GEN-2016-115</t>
  </si>
  <si>
    <t>GEN-2016-118</t>
  </si>
  <si>
    <t>GEN-2016-123</t>
  </si>
  <si>
    <t>GEN-2016-124</t>
  </si>
  <si>
    <t>GEN-2016-125</t>
  </si>
  <si>
    <t>GEN-2016-126</t>
  </si>
  <si>
    <t>GEN-2016-130</t>
  </si>
  <si>
    <t>GEN-2016-131</t>
  </si>
  <si>
    <t>GEN-2016-132</t>
  </si>
  <si>
    <t>GEN-2016-149</t>
  </si>
  <si>
    <t>GEN-2016-150</t>
  </si>
  <si>
    <t>GEN-2016-151</t>
  </si>
  <si>
    <t>GEN-2016-153</t>
  </si>
  <si>
    <t>GEN-2016-174</t>
  </si>
  <si>
    <t>GEN-2016-176</t>
  </si>
  <si>
    <t>GEN-2016-177</t>
  </si>
  <si>
    <t>GEN-2017-005</t>
  </si>
  <si>
    <t>GEN-2017-009</t>
  </si>
  <si>
    <t>GEN-2017-010</t>
  </si>
  <si>
    <t>GEN-2017-027</t>
  </si>
  <si>
    <t>GEN-2017-033</t>
  </si>
  <si>
    <t>GEN-2017-036</t>
  </si>
  <si>
    <t>GEN-2017-047</t>
  </si>
  <si>
    <t>GEN-2017-060</t>
  </si>
  <si>
    <t>GEN-2017-082</t>
  </si>
  <si>
    <t>GEN-2017-094</t>
  </si>
  <si>
    <t>GEN-2017-097</t>
  </si>
  <si>
    <t>GEN-2019-018</t>
  </si>
  <si>
    <t>GEN-2020-002</t>
  </si>
  <si>
    <t>GEN-2020-014</t>
  </si>
  <si>
    <t>GEN-2020-025</t>
  </si>
  <si>
    <t>GEN-2020-028</t>
  </si>
  <si>
    <t>GEN-2020-043</t>
  </si>
  <si>
    <t>GEN-2020-044</t>
  </si>
  <si>
    <t>GEN-2020-045</t>
  </si>
  <si>
    <t>GEN-2021-SR9</t>
  </si>
  <si>
    <t>GEN-2023-GR3</t>
  </si>
  <si>
    <t>GEN-2023-SR13</t>
  </si>
  <si>
    <t>GEN-2023-SR18</t>
  </si>
  <si>
    <t>GI-TC-2021-04</t>
  </si>
  <si>
    <t>CO</t>
  </si>
  <si>
    <t>GI-TC-2021-05</t>
  </si>
  <si>
    <t>GI-TC-2021-06</t>
  </si>
  <si>
    <t>GI-TC-2021-07</t>
  </si>
  <si>
    <t>TI-17-0224</t>
  </si>
  <si>
    <t>TI-18-0809</t>
  </si>
  <si>
    <t>TI-18-0827</t>
  </si>
  <si>
    <t>11INR0062</t>
  </si>
  <si>
    <t>12INR0055</t>
  </si>
  <si>
    <t>12INR0060</t>
  </si>
  <si>
    <t>13INR0026</t>
  </si>
  <si>
    <t>14INR0009</t>
  </si>
  <si>
    <t>14INR0033</t>
  </si>
  <si>
    <t>14INR0044</t>
  </si>
  <si>
    <t>14INR0045</t>
  </si>
  <si>
    <t>15INR0034</t>
  </si>
  <si>
    <t>15INR0044</t>
  </si>
  <si>
    <t>15INR0059</t>
  </si>
  <si>
    <t>15INR0090</t>
  </si>
  <si>
    <t>16INR0003</t>
  </si>
  <si>
    <t>16INR0019</t>
  </si>
  <si>
    <t>16INR0054</t>
  </si>
  <si>
    <t>16INR0062b</t>
  </si>
  <si>
    <t>16INR0076</t>
  </si>
  <si>
    <t>16INR0086</t>
  </si>
  <si>
    <t>16INR0111</t>
  </si>
  <si>
    <t>17INR0005</t>
  </si>
  <si>
    <t>17INR0020a</t>
  </si>
  <si>
    <t>17INR0020b</t>
  </si>
  <si>
    <t>17INR0025</t>
  </si>
  <si>
    <t>17INR0031</t>
  </si>
  <si>
    <t>17INR0035</t>
  </si>
  <si>
    <t>17INR0037</t>
  </si>
  <si>
    <t>17INR0045</t>
  </si>
  <si>
    <t>17INR0061</t>
  </si>
  <si>
    <t>18INR0014</t>
  </si>
  <si>
    <t>18INR0016</t>
  </si>
  <si>
    <t>18INR0018</t>
  </si>
  <si>
    <t>18INR0025</t>
  </si>
  <si>
    <t>18INR0033</t>
  </si>
  <si>
    <t>18INR0035</t>
  </si>
  <si>
    <t>18INR0038</t>
  </si>
  <si>
    <t>18INR0039</t>
  </si>
  <si>
    <t>18INR0043</t>
  </si>
  <si>
    <t>Wind+Battery</t>
  </si>
  <si>
    <t>18INR0045</t>
  </si>
  <si>
    <t>18INR0050</t>
  </si>
  <si>
    <t>18INR0053</t>
  </si>
  <si>
    <t>18INR0055</t>
  </si>
  <si>
    <t>18INR0059</t>
  </si>
  <si>
    <t>18INR0060</t>
  </si>
  <si>
    <t>18INR0062</t>
  </si>
  <si>
    <t>18INR0067</t>
  </si>
  <si>
    <t>18INR0070</t>
  </si>
  <si>
    <t>18INR0076</t>
  </si>
  <si>
    <t>18INR0077</t>
  </si>
  <si>
    <t>18INR0078</t>
  </si>
  <si>
    <t>19INR0001</t>
  </si>
  <si>
    <t>19INR0009</t>
  </si>
  <si>
    <t>19INR0014</t>
  </si>
  <si>
    <t>19INR0019</t>
  </si>
  <si>
    <t>19INR0029</t>
  </si>
  <si>
    <t>19INR0034</t>
  </si>
  <si>
    <t>19INR0038</t>
  </si>
  <si>
    <t>19INR0044</t>
  </si>
  <si>
    <t>19INR0045</t>
  </si>
  <si>
    <t>19INR0051</t>
  </si>
  <si>
    <t>19INR0052</t>
  </si>
  <si>
    <t>19INR0053</t>
  </si>
  <si>
    <t>19INR0056</t>
  </si>
  <si>
    <t>19INR0057</t>
  </si>
  <si>
    <t>19INR0073</t>
  </si>
  <si>
    <t>19INR0074</t>
  </si>
  <si>
    <t>19INR0081</t>
  </si>
  <si>
    <t>19INR0083</t>
  </si>
  <si>
    <t>19INR0088</t>
  </si>
  <si>
    <t>19INR0091</t>
  </si>
  <si>
    <t>19INR0092</t>
  </si>
  <si>
    <t>19INR0102</t>
  </si>
  <si>
    <t>19INR0112</t>
  </si>
  <si>
    <t>19INR0114</t>
  </si>
  <si>
    <t>19INR0117</t>
  </si>
  <si>
    <t>19INR0121</t>
  </si>
  <si>
    <t>19INR0128</t>
  </si>
  <si>
    <t>19INR0131</t>
  </si>
  <si>
    <t>19INR0145</t>
  </si>
  <si>
    <t>19INR0151</t>
  </si>
  <si>
    <t>19INR0155</t>
  </si>
  <si>
    <t>19INR0156</t>
  </si>
  <si>
    <t>19INR0163</t>
  </si>
  <si>
    <t>19INR0169</t>
  </si>
  <si>
    <t>19INR0176</t>
  </si>
  <si>
    <t>19INR0177</t>
  </si>
  <si>
    <t>19INR0182</t>
  </si>
  <si>
    <t>19INR0184</t>
  </si>
  <si>
    <t>19INR0185</t>
  </si>
  <si>
    <t>19INR0203</t>
  </si>
  <si>
    <t>19INR0204</t>
  </si>
  <si>
    <t>19INR0205</t>
  </si>
  <si>
    <t>19INR0206</t>
  </si>
  <si>
    <t>20INR0011</t>
  </si>
  <si>
    <t>20INR0026</t>
  </si>
  <si>
    <t>20INR0031</t>
  </si>
  <si>
    <t>20INR0032</t>
  </si>
  <si>
    <t>20INR0037</t>
  </si>
  <si>
    <t>20INR0040</t>
  </si>
  <si>
    <t>20INR0042</t>
  </si>
  <si>
    <t>20INR0045</t>
  </si>
  <si>
    <t>20INR0046</t>
  </si>
  <si>
    <t>20INR0052</t>
  </si>
  <si>
    <t>20INR0054</t>
  </si>
  <si>
    <t>20INR0068</t>
  </si>
  <si>
    <t>20INR0074</t>
  </si>
  <si>
    <t>20INR0080</t>
  </si>
  <si>
    <t>20INR0081</t>
  </si>
  <si>
    <t>20INR0082</t>
  </si>
  <si>
    <t>20INR0088</t>
  </si>
  <si>
    <t>20INR0089</t>
  </si>
  <si>
    <t>20INR0098</t>
  </si>
  <si>
    <t>20INR0101</t>
  </si>
  <si>
    <t>20INR0120</t>
  </si>
  <si>
    <t>20INR0130</t>
  </si>
  <si>
    <t>20INR0142</t>
  </si>
  <si>
    <t>20INR0164</t>
  </si>
  <si>
    <t>20INR0204</t>
  </si>
  <si>
    <t>20INR0206</t>
  </si>
  <si>
    <t>20INR0208</t>
  </si>
  <si>
    <t>20INR0210</t>
  </si>
  <si>
    <t>20INR0214</t>
  </si>
  <si>
    <t>20INR0219</t>
  </si>
  <si>
    <t>20INR0220</t>
  </si>
  <si>
    <t>20INR0221</t>
  </si>
  <si>
    <t>20INR0230</t>
  </si>
  <si>
    <t>20INR0231</t>
  </si>
  <si>
    <t>20INR0249</t>
  </si>
  <si>
    <t>20INR0250</t>
  </si>
  <si>
    <t>20INR0256</t>
  </si>
  <si>
    <t>20INR0261</t>
  </si>
  <si>
    <t>20INR0262</t>
  </si>
  <si>
    <t>20INR0268</t>
  </si>
  <si>
    <t>20INR0269</t>
  </si>
  <si>
    <t>20INR0272</t>
  </si>
  <si>
    <t>20INR0276</t>
  </si>
  <si>
    <t>20INR0280</t>
  </si>
  <si>
    <t>20INR0281</t>
  </si>
  <si>
    <t>20INR0282</t>
  </si>
  <si>
    <t>20INR0287</t>
  </si>
  <si>
    <t>20INR0290</t>
  </si>
  <si>
    <t>20INR0291</t>
  </si>
  <si>
    <t>20INR0293</t>
  </si>
  <si>
    <t>20INR0294</t>
  </si>
  <si>
    <t>20INR0296</t>
  </si>
  <si>
    <t>20INR0298</t>
  </si>
  <si>
    <t>20INR0305</t>
  </si>
  <si>
    <t>21INR0019</t>
  </si>
  <si>
    <t>21INR0026</t>
  </si>
  <si>
    <t>21INR0027</t>
  </si>
  <si>
    <t>21INR0205</t>
  </si>
  <si>
    <t>21INR0213</t>
  </si>
  <si>
    <t>21INR0229</t>
  </si>
  <si>
    <t>21INR0233</t>
  </si>
  <si>
    <t>21INR0244</t>
  </si>
  <si>
    <t>21INR0257</t>
  </si>
  <si>
    <t>21INR0261</t>
  </si>
  <si>
    <t>21INR0276</t>
  </si>
  <si>
    <t>21INR0281</t>
  </si>
  <si>
    <t>21INR0302</t>
  </si>
  <si>
    <t>21INR0303</t>
  </si>
  <si>
    <t>21INR0304</t>
  </si>
  <si>
    <t>21INR0323</t>
  </si>
  <si>
    <t>21INR0325</t>
  </si>
  <si>
    <t>21INR0328</t>
  </si>
  <si>
    <t>21INR0351</t>
  </si>
  <si>
    <t>21INR0353</t>
  </si>
  <si>
    <t>21INR0357</t>
  </si>
  <si>
    <t>21INR0364</t>
  </si>
  <si>
    <t>21INR0365</t>
  </si>
  <si>
    <t>21INR0375</t>
  </si>
  <si>
    <t>21INR0379</t>
  </si>
  <si>
    <t>21INR0384</t>
  </si>
  <si>
    <t>21INR0387</t>
  </si>
  <si>
    <t>21INR0389</t>
  </si>
  <si>
    <t>21INR0393</t>
  </si>
  <si>
    <t>21INR0395</t>
  </si>
  <si>
    <t>21INR0401</t>
  </si>
  <si>
    <t>21INR0424</t>
  </si>
  <si>
    <t>21INR0431</t>
  </si>
  <si>
    <t>21INR0434</t>
  </si>
  <si>
    <t>21INR0442</t>
  </si>
  <si>
    <t>21INR0443</t>
  </si>
  <si>
    <t>21INR0449</t>
  </si>
  <si>
    <t>21INR0450</t>
  </si>
  <si>
    <t>21INR0458</t>
  </si>
  <si>
    <t>21INR0459</t>
  </si>
  <si>
    <t>21INR0460</t>
  </si>
  <si>
    <t>21INR0467</t>
  </si>
  <si>
    <t>21INR0473</t>
  </si>
  <si>
    <t>21INR0474</t>
  </si>
  <si>
    <t>21INR0476</t>
  </si>
  <si>
    <t>21INR0477</t>
  </si>
  <si>
    <t>21INR0479</t>
  </si>
  <si>
    <t>21INR0484</t>
  </si>
  <si>
    <t>21INR0493</t>
  </si>
  <si>
    <t>21INR0496</t>
  </si>
  <si>
    <t>21INR0497</t>
  </si>
  <si>
    <t>21INR0501</t>
  </si>
  <si>
    <t>21INR0510</t>
  </si>
  <si>
    <t>21INR0511</t>
  </si>
  <si>
    <t>21INR0512</t>
  </si>
  <si>
    <t>21INR0515</t>
  </si>
  <si>
    <t>21INR0517</t>
  </si>
  <si>
    <t>21INR0521</t>
  </si>
  <si>
    <t>21INR0522</t>
  </si>
  <si>
    <t>21INR0539</t>
  </si>
  <si>
    <t>21INR0541</t>
  </si>
  <si>
    <t>22INR0223</t>
  </si>
  <si>
    <t>22INR0242</t>
  </si>
  <si>
    <t>22INR0254</t>
  </si>
  <si>
    <t>22INR0260</t>
  </si>
  <si>
    <t>22INR0280</t>
  </si>
  <si>
    <t>22INR0283</t>
  </si>
  <si>
    <t>22INR0295</t>
  </si>
  <si>
    <t>22INR0302</t>
  </si>
  <si>
    <t>22INR0322</t>
  </si>
  <si>
    <t>22INR0325</t>
  </si>
  <si>
    <t>22INR0326</t>
  </si>
  <si>
    <t>22INR0327</t>
  </si>
  <si>
    <t>22INR0328</t>
  </si>
  <si>
    <t>22INR0335</t>
  </si>
  <si>
    <t>22INR0336</t>
  </si>
  <si>
    <t>22INR0338</t>
  </si>
  <si>
    <t>22INR0349</t>
  </si>
  <si>
    <t>22INR0352</t>
  </si>
  <si>
    <t>22INR0353</t>
  </si>
  <si>
    <t>22INR0354</t>
  </si>
  <si>
    <t>22INR0356</t>
  </si>
  <si>
    <t>22INR0359</t>
  </si>
  <si>
    <t>22INR0360</t>
  </si>
  <si>
    <t>22INR0366</t>
  </si>
  <si>
    <t>22INR0368</t>
  </si>
  <si>
    <t>22INR0369</t>
  </si>
  <si>
    <t>22INR0371</t>
  </si>
  <si>
    <t>22INR0372</t>
  </si>
  <si>
    <t>22INR0384</t>
  </si>
  <si>
    <t>22INR0388</t>
  </si>
  <si>
    <t>22INR0398</t>
  </si>
  <si>
    <t>22INR0404</t>
  </si>
  <si>
    <t>22INR0405</t>
  </si>
  <si>
    <t>22INR0409</t>
  </si>
  <si>
    <t>22INR0410</t>
  </si>
  <si>
    <t>22INR0412</t>
  </si>
  <si>
    <t>22INR0429</t>
  </si>
  <si>
    <t>22INR0436</t>
  </si>
  <si>
    <t>22INR0482</t>
  </si>
  <si>
    <t>22INR0485</t>
  </si>
  <si>
    <t>22INR0490</t>
  </si>
  <si>
    <t>22INR0495</t>
  </si>
  <si>
    <t>22INR0502</t>
  </si>
  <si>
    <t>22INR0509</t>
  </si>
  <si>
    <t>22INR0511</t>
  </si>
  <si>
    <t>22INR0524</t>
  </si>
  <si>
    <t>22INR0525</t>
  </si>
  <si>
    <t>22INR0535</t>
  </si>
  <si>
    <t>22INR0549</t>
  </si>
  <si>
    <t>22INR0550</t>
  </si>
  <si>
    <t>22INR0551</t>
  </si>
  <si>
    <t>22INR0562</t>
  </si>
  <si>
    <t>22INR0598</t>
  </si>
  <si>
    <t>22INR0601</t>
  </si>
  <si>
    <t>22INR0602</t>
  </si>
  <si>
    <t>22INR0607</t>
  </si>
  <si>
    <t>22INR0608</t>
  </si>
  <si>
    <t>23INR0019</t>
  </si>
  <si>
    <t>23INR0021</t>
  </si>
  <si>
    <t>23INR0044</t>
  </si>
  <si>
    <t>23INR0072</t>
  </si>
  <si>
    <t>23INR0079</t>
  </si>
  <si>
    <t>23INR0095</t>
  </si>
  <si>
    <t>23INR0103</t>
  </si>
  <si>
    <t>23INR0114</t>
  </si>
  <si>
    <t>23INR0119</t>
  </si>
  <si>
    <t>23INR0124</t>
  </si>
  <si>
    <t>23INR0153</t>
  </si>
  <si>
    <t>23INR0154</t>
  </si>
  <si>
    <t>23INR0159</t>
  </si>
  <si>
    <t>23INR0166</t>
  </si>
  <si>
    <t>23INR0195</t>
  </si>
  <si>
    <t>23INR0219</t>
  </si>
  <si>
    <t>23INR0239</t>
  </si>
  <si>
    <t>23INR0299</t>
  </si>
  <si>
    <t>23INR0339</t>
  </si>
  <si>
    <t>23INR0343</t>
  </si>
  <si>
    <t>23INR0363</t>
  </si>
  <si>
    <t>23INR0369</t>
  </si>
  <si>
    <t>23INR0371</t>
  </si>
  <si>
    <t>23INR0372</t>
  </si>
  <si>
    <t>23INR0387</t>
  </si>
  <si>
    <t>23INR0403</t>
  </si>
  <si>
    <t>23INR0408</t>
  </si>
  <si>
    <t>23INR0418</t>
  </si>
  <si>
    <t>23INR0460</t>
  </si>
  <si>
    <t>23INR0470</t>
  </si>
  <si>
    <t>23INR0472</t>
  </si>
  <si>
    <t>23INR0498</t>
  </si>
  <si>
    <t>23INR0500</t>
  </si>
  <si>
    <t>23INR0506</t>
  </si>
  <si>
    <t>23INR0525</t>
  </si>
  <si>
    <t>23INR0528</t>
  </si>
  <si>
    <t>23INR0539</t>
  </si>
  <si>
    <t>23INR0543</t>
  </si>
  <si>
    <t>23INR0555</t>
  </si>
  <si>
    <t>23INR0565</t>
  </si>
  <si>
    <t>23INR0569</t>
  </si>
  <si>
    <t>23INR0570</t>
  </si>
  <si>
    <t>23INR0613</t>
  </si>
  <si>
    <t>23INR0618</t>
  </si>
  <si>
    <t>23INR0688</t>
  </si>
  <si>
    <t>23INR0807</t>
  </si>
  <si>
    <t>24INR0015</t>
  </si>
  <si>
    <t>24INR0100</t>
  </si>
  <si>
    <t>24INR0116</t>
  </si>
  <si>
    <t>24INR0147</t>
  </si>
  <si>
    <t>24INR0166</t>
  </si>
  <si>
    <t>24INR0265</t>
  </si>
  <si>
    <t>24INR0273</t>
  </si>
  <si>
    <t>24INR0295</t>
  </si>
  <si>
    <t>24INR0312</t>
  </si>
  <si>
    <t>24INR0315</t>
  </si>
  <si>
    <t>24INR0329</t>
  </si>
  <si>
    <t>24INR0421</t>
  </si>
  <si>
    <t>24INR0546</t>
  </si>
  <si>
    <t>24INR0580</t>
  </si>
  <si>
    <t>24INR0585</t>
  </si>
  <si>
    <t>24INR0586</t>
  </si>
  <si>
    <t>24INR0587</t>
  </si>
  <si>
    <t>24INR0588</t>
  </si>
  <si>
    <t>24INR0591</t>
  </si>
  <si>
    <t>24INR0593</t>
  </si>
  <si>
    <t>24INR0609</t>
  </si>
  <si>
    <t>24INR0610</t>
  </si>
  <si>
    <t>24INR0614</t>
  </si>
  <si>
    <t>24INR0615</t>
  </si>
  <si>
    <t>24INR0624</t>
  </si>
  <si>
    <t>24INR0635</t>
  </si>
  <si>
    <t>24INR0660</t>
  </si>
  <si>
    <t>24INR0662</t>
  </si>
  <si>
    <t>24INR0759</t>
  </si>
  <si>
    <t>25INR0328</t>
  </si>
  <si>
    <t>25INR0642</t>
  </si>
  <si>
    <t>25INR0691</t>
  </si>
  <si>
    <t>26INR0683</t>
  </si>
  <si>
    <t>26INR0694</t>
  </si>
  <si>
    <t>22INR0468</t>
  </si>
  <si>
    <t>22INR0540</t>
  </si>
  <si>
    <t>23INR0007</t>
  </si>
  <si>
    <t>23INR0287</t>
  </si>
  <si>
    <t>23INR0619</t>
  </si>
  <si>
    <t>24INR0460</t>
  </si>
  <si>
    <t>24INR0596</t>
  </si>
  <si>
    <t>25INR0223</t>
  </si>
  <si>
    <t>25INR0467</t>
  </si>
  <si>
    <t>25INR0777</t>
  </si>
  <si>
    <t>26INR0666</t>
  </si>
  <si>
    <t>26INR0674</t>
  </si>
  <si>
    <t>26INR0675</t>
  </si>
  <si>
    <t>26INR0676</t>
  </si>
  <si>
    <t>26INR0681</t>
  </si>
  <si>
    <t>26INR0684</t>
  </si>
  <si>
    <t>CSU-2018-1</t>
  </si>
  <si>
    <t>CSU-2020-2</t>
  </si>
  <si>
    <t>168</t>
  </si>
  <si>
    <t>175</t>
  </si>
  <si>
    <t>183</t>
  </si>
  <si>
    <t>187</t>
  </si>
  <si>
    <t>194A</t>
  </si>
  <si>
    <t>200</t>
  </si>
  <si>
    <t>202</t>
  </si>
  <si>
    <t>258</t>
  </si>
  <si>
    <t>260</t>
  </si>
  <si>
    <t>261</t>
  </si>
  <si>
    <t>271</t>
  </si>
  <si>
    <t>307</t>
  </si>
  <si>
    <t>373</t>
  </si>
  <si>
    <t>505</t>
  </si>
  <si>
    <t>IC-237</t>
  </si>
  <si>
    <t>61</t>
  </si>
  <si>
    <t>77</t>
  </si>
  <si>
    <t>10230</t>
  </si>
  <si>
    <t>17116</t>
  </si>
  <si>
    <t>9409</t>
  </si>
  <si>
    <t>162</t>
  </si>
  <si>
    <t>181</t>
  </si>
  <si>
    <t>182</t>
  </si>
  <si>
    <t>201</t>
  </si>
  <si>
    <t>205</t>
  </si>
  <si>
    <t>335</t>
  </si>
  <si>
    <t>336</t>
  </si>
  <si>
    <t>360C</t>
  </si>
  <si>
    <t>ASGI-2018-001</t>
  </si>
  <si>
    <t>Q44a</t>
  </si>
  <si>
    <t>Q44b</t>
  </si>
  <si>
    <t>Q30b</t>
  </si>
  <si>
    <t>Q07a</t>
  </si>
  <si>
    <t>Q07b</t>
  </si>
  <si>
    <t>Q07c</t>
  </si>
  <si>
    <t>1120</t>
  </si>
  <si>
    <t>1139</t>
  </si>
  <si>
    <t>1158</t>
  </si>
  <si>
    <t>1171</t>
  </si>
  <si>
    <t>1196</t>
  </si>
  <si>
    <t>1198</t>
  </si>
  <si>
    <t>1200</t>
  </si>
  <si>
    <t>1211</t>
  </si>
  <si>
    <t>1215</t>
  </si>
  <si>
    <t>1244</t>
  </si>
  <si>
    <t>1291</t>
  </si>
  <si>
    <t>1302</t>
  </si>
  <si>
    <t>1313</t>
  </si>
  <si>
    <t>1319</t>
  </si>
  <si>
    <t>1324</t>
  </si>
  <si>
    <t>1327</t>
  </si>
  <si>
    <t>1329</t>
  </si>
  <si>
    <t>1350</t>
  </si>
  <si>
    <t>1414</t>
  </si>
  <si>
    <t>1424</t>
  </si>
  <si>
    <t>1516</t>
  </si>
  <si>
    <t>1526</t>
  </si>
  <si>
    <t>193</t>
  </si>
  <si>
    <t>643AE</t>
  </si>
  <si>
    <t>643W</t>
  </si>
  <si>
    <t>643X</t>
  </si>
  <si>
    <t>877</t>
  </si>
  <si>
    <t>946</t>
  </si>
  <si>
    <t>954</t>
  </si>
  <si>
    <t>971</t>
  </si>
  <si>
    <t>Q42</t>
  </si>
  <si>
    <t>Q47</t>
  </si>
  <si>
    <t>Q48</t>
  </si>
  <si>
    <t>Q15</t>
  </si>
  <si>
    <t>Delivered Power Build-up — wholesale + delivery split, validated vs observed industrial all-in ($/MWh)</t>
  </si>
  <si>
    <t>Delivered price (col E) = the Assumptions country-table Base, externally validated against an observed industrial all-in price (col G). Wholesale (col C) is sourced; the grid/T&amp;D+firming line (col D) is now an ILLUSTRATIVE SPLIT (delivered − wholesale), not a claim. US = ERCOT basis; Norway = blended NO zones; Saudi = regulated tariff.</t>
  </si>
  <si>
    <t>REFERENCE TAB — reconciled to the Assumptions country table (delivered power) by Checks r24; not live-linked. Assumptions holds the authoritative hardcodes.</t>
  </si>
  <si>
    <t>Wholesale avg</t>
  </si>
  <si>
    <t>Grid/T&amp;D + firming (illustrative split = delivered − wholesale)</t>
  </si>
  <si>
    <t>Delivered (build-up)</t>
  </si>
  <si>
    <t>Wholesale source</t>
  </si>
  <si>
    <t>Observed industrial all-in ($/MWh)</t>
  </si>
  <si>
    <t>Observed-price source</t>
  </si>
  <si>
    <t>Notes / basis</t>
  </si>
  <si>
    <t>[22]</t>
  </si>
  <si>
    <t>[37]</t>
  </si>
  <si>
    <t>IEA Nordics H1-2025 ~$40/MWh (SSB/Nord Pool); delivered = wholesale + grid/T&amp;D + firming</t>
  </si>
  <si>
    <t>IEA/EIA ERCOT 2025 ~$30/MWh; delivered $60 = ERCOT + ~$30 grid/T&amp;D</t>
  </si>
  <si>
    <t>[23]</t>
  </si>
  <si>
    <t>IEX DAM 2025 ~₹4.2/kWh ≈ $49/MWh</t>
  </si>
  <si>
    <t>IEA EU H1-2025 ~$90/MWh; IE higher (SEMOpx)</t>
  </si>
  <si>
    <t>Regulated SEC/SERA industrial tariff ~$48/MWh</t>
  </si>
  <si>
    <t>Delivered (col E) ties to the Assumptions country table (Base) — arithmetic verified on Checks r24 — and is cross-checked against an independent observed industrial all-in price (col G, Checks r17). The wholesale/delivery split (cols C/D) is illustrative decomposition, not the source of the number.</t>
  </si>
  <si>
    <t>External validation — max |delivered − observed industrial all-in| ÷ observed (flag if &gt; 20%):</t>
  </si>
  <si>
    <t>WACC Build-up (unlevered project hurdle rate) — USD risk-free + country-risk premium + project premium. This is an unlevered hurdle rate used as a WACC proxy; NOT a levered WACC (no debt cost, beta, ERP or capital structure).</t>
  </si>
  <si>
    <t>USD-nominal cost of capital decomposed. Risk-free = US 10-yr less US default spread (Damodaran method); CRP from Damodaran Jan-2026 (sourced); the project/asset premium is a disclosed judgment residual. Reconciles to the country table (Base).</t>
  </si>
  <si>
    <t>REFERENCE TAB — reconciled to the Assumptions country-table WACC by Checks r25; not live-linked. Assumptions holds the authoritative hardcodes.</t>
  </si>
  <si>
    <t>USD risk-free (linked from Assumptions input)</t>
  </si>
  <si>
    <t>Risk-free linked from Assumptions [21] (FRED DGS10). Project premium = disclosed judgment.</t>
  </si>
  <si>
    <t>Risk-free</t>
  </si>
  <si>
    <t>CRP (Damodaran) [20]</t>
  </si>
  <si>
    <t>Project premium (disclosed judgment)</t>
  </si>
  <si>
    <t>WACC (build-up)</t>
  </si>
  <si>
    <t>[20][21]</t>
  </si>
  <si>
    <t>WACC (col F) ties to the Assumptions country table (Base) — reconciliation verified on Checks. Risk-free &amp; CRP are High-reliability (FRED / Damodaran); the project premium is a disclosed judgment residual (Low).</t>
  </si>
  <si>
    <t>India's project premium is smallest (0.75pp) — its frozen 8.0% WACC sits only modestly above the sourced rf+CRP floor of 7.25%.</t>
  </si>
  <si>
    <t>Every input. The sourcing/build-up tabs before this one (GPU Specs, GPU Price Index, Power/WACC Build-ups) evidence the key drivers; those ties are verified on Checks. BLUE = input you may change; the Active column feeds the engine. Col K = Materiality (High = defend cold). Energy Security block (rows 79+) is a LABELLED IMPLICATION and does NOT feed the P&amp;L.</t>
  </si>
  <si>
    <t>Scenario (all countries)</t>
  </si>
  <si>
    <t>Base</t>
  </si>
  <si>
    <t>Country (drill-down only)</t>
  </si>
  <si>
    <t>Energy-source analysis</t>
  </si>
  <si>
    <t>→ see EnergyDynamics tab</t>
  </si>
  <si>
    <t>Deal type (Contracted/Merchant)</t>
  </si>
  <si>
    <t>Contracted</t>
  </si>
  <si>
    <t>Driver</t>
  </si>
  <si>
    <t>Bear</t>
  </si>
  <si>
    <t>Bull</t>
  </si>
  <si>
    <t>Active</t>
  </si>
  <si>
    <t>Comment</t>
  </si>
  <si>
    <t>Facility build capex (ex-interconnect)</t>
  </si>
  <si>
    <t>$m/MW</t>
  </si>
  <si>
    <t>[1]</t>
  </si>
  <si>
    <t>-</t>
  </si>
  <si>
    <t>GPU + IT capex (per single GPU)</t>
  </si>
  <si>
    <t>$/GPU</t>
  </si>
  <si>
    <t>[2]</t>
  </si>
  <si>
    <t>'GPU'=one single B200 accelerator (~600/MW, ~$42k/GPU). Basis: DGX B200 ~$35–40k/GPU; HGX B200 ~$56k; bare card $40–50k; Base $42k = DGX-class + IT share.</t>
  </si>
  <si>
    <t>GPUs per MW (single accelerator)</t>
  </si>
  <si>
    <t>#/MW</t>
  </si>
  <si>
    <t>[3]</t>
  </si>
  <si>
    <t>B200 1000W TDP; HGX 8-GPU node ~13.3kW at IT level (GPU+CPU+NVSwitch+networking) → 1 MW ÷ 1.667 kW/GPU ≈ 600 GPU/MW.</t>
  </si>
  <si>
    <t>PUE (per usage effectiveness)</t>
  </si>
  <si>
    <t>[4]</t>
  </si>
  <si>
    <t>A measure of how efficiently GPU's consume energy, accounting for cooling, power conversion/distribtion losses, and overhead. Lower rate is more efficient. PUE = total facility electricity / IT electricity.</t>
  </si>
  <si>
    <t>Compute price P0 (year-1, today)</t>
  </si>
  <si>
    <t>[5]</t>
  </si>
  <si>
    <t>P0 = year-1 realized committed rate (NOT a hold-average); ENTRY price = P0×(1−decline)^TTP, then erodes toward the floor. On-demand ≈ $6.85.</t>
  </si>
  <si>
    <t>Paid occupancy (Deal type)</t>
  </si>
  <si>
    <t>[6]</t>
  </si>
  <si>
    <t>[7]</t>
  </si>
  <si>
    <t>Fixed O&amp;M (incl. water/staff)</t>
  </si>
  <si>
    <t>$m/MW/yr</t>
  </si>
  <si>
    <t>[33]</t>
  </si>
  <si>
    <t>Facility salvage (% of facility capex — PRE-TAX terminal proceeds on shell + live interconnection; no recapture/gain tax)</t>
  </si>
  <si>
    <t>[31]</t>
  </si>
  <si>
    <t>45% blended residual: durable powered shell + interconnection (30+yr, appreciating) holds most value; cooling/fit-out depreciates faster. Modelled as PRE-TAX proceeds (no recapture/gain tax on shell); GPU salvage is after-tax — see Limitations.</t>
  </si>
  <si>
    <t>GPU salvage (% of GPU capex, recovered at exit — spent accelerators)</t>
  </si>
  <si>
    <t>10% GPU residual at 5-yr exit — conservative. Accelerators cascade (frontier yr1–2 → inference yr3–4 → batch yr5–6): ~50–60% at 3yr, collapsing to ~10% by yr5.</t>
  </si>
  <si>
    <t>Operating hold (yr = GPU life, single flip)</t>
  </si>
  <si>
    <t>Derived from GPU economic life; energization/GPU install period.</t>
  </si>
  <si>
    <t>IT load</t>
  </si>
  <si>
    <t>Design choice</t>
  </si>
  <si>
    <t>Delivered power</t>
  </si>
  <si>
    <t>$/MWh</t>
  </si>
  <si>
    <t>[22][23][37]</t>
  </si>
  <si>
    <t>source and confidence documented in "Calculations"</t>
  </si>
  <si>
    <t>Time-to-power</t>
  </si>
  <si>
    <t>[24][25][26][27][28][46]</t>
  </si>
  <si>
    <t>Cost of capital — unlevered project hurdle rate (rf + country-risk premium; a WACC proxy, not a levered WACC)</t>
  </si>
  <si>
    <t>Corporate tax rate</t>
  </si>
  <si>
    <t>[29]</t>
  </si>
  <si>
    <t>Secondary assumptions — Low materiality (standard conventions; single value each)</t>
  </si>
  <si>
    <t>Hours per year</t>
  </si>
  <si>
    <t>h</t>
  </si>
  <si>
    <t>8760 h/yr</t>
  </si>
  <si>
    <t>Unit scale ($ per $m)</t>
  </si>
  <si>
    <t>$</t>
  </si>
  <si>
    <t>$1m = 1,000,000</t>
  </si>
  <si>
    <t>Insurance rate (x GPU capex)</t>
  </si>
  <si>
    <t>[43]</t>
  </si>
  <si>
    <t>0.4% of GPU capex (Hotaling/Lockton operating insurance).</t>
  </si>
  <si>
    <t>Property tax abatement ((1-abate) applied)</t>
  </si>
  <si>
    <t>Ramp yr-1 occupancy (% of steady)</t>
  </si>
  <si>
    <t>[32]</t>
  </si>
  <si>
    <t>Ramp yr-2 occupancy (% of steady)</t>
  </si>
  <si>
    <t>Facility life (sense-check only)</t>
  </si>
  <si>
    <t>deprec uses shell/fit-out below</t>
  </si>
  <si>
    <t>Shell fraction of facility capex</t>
  </si>
  <si>
    <t>Shell / building life</t>
  </si>
  <si>
    <t>AI fit-out life (cooling/MEP)</t>
  </si>
  <si>
    <t>Idle-shell holding cost (%/yr facility capex, wait)</t>
  </si>
  <si>
    <t>[14]</t>
  </si>
  <si>
    <t>USD risk-free rate (10-yr Treasury; feeds WACC)</t>
  </si>
  <si>
    <t>[21]</t>
  </si>
  <si>
    <t>US 10-yr 4.466% 90-day avg (FRED DGS10) − US default 0.23% (Damodaran) = USD risk-free.</t>
  </si>
  <si>
    <t>Shadow carbon price (context lens; not in P&amp;L)</t>
  </si>
  <si>
    <t>$/tCO₂</t>
  </si>
  <si>
    <t>[47]</t>
  </si>
  <si>
    <t>US EPA 2023 social cost of carbon ≈ $190/t (2020$, ~2% near-term); EU ETS ≈ $80/t alternative. Editable. Context lens only — priced in the Comparison carbon-adjusted view, excluded from the core NPV.</t>
  </si>
  <si>
    <t>Deal structure — Contracted vs Merchant</t>
  </si>
  <si>
    <t>Merchant</t>
  </si>
  <si>
    <t>Contracted=anchor offtake (low WACC, high occ); Merchant=speculative (WACC premium, lower occ).</t>
  </si>
  <si>
    <t>Paid occupancy</t>
  </si>
  <si>
    <t>WACC premium (pp)</t>
  </si>
  <si>
    <t>[13]</t>
  </si>
  <si>
    <t>Merchant premium +4.5pp (Merchant deal only; Contracted = 0). Equity ~12–15% merchant vs ~7–9% contracted; debt +125–250bps; +4.5pp sits inside the observed gap.</t>
  </si>
  <si>
    <t>Country data — varying levers (Bear/Base/Bull). KEY: delivered power · time-to-power · WACC.</t>
  </si>
  <si>
    <t>Pow Bear</t>
  </si>
  <si>
    <t>Pow Base</t>
  </si>
  <si>
    <t>Pow Bull</t>
  </si>
  <si>
    <t>TTP Bear</t>
  </si>
  <si>
    <t>TTP Base</t>
  </si>
  <si>
    <t>TTP Bull</t>
  </si>
  <si>
    <t>WACC Bear</t>
  </si>
  <si>
    <t>WACC Base</t>
  </si>
  <si>
    <t>WACC Bull</t>
  </si>
  <si>
    <t>Tax</t>
  </si>
  <si>
    <t>PUE</t>
  </si>
  <si>
    <t>Interconn $m/MW</t>
  </si>
  <si>
    <t>PropTax %capex/yr</t>
  </si>
  <si>
    <t>Grid carbon (gCO2/kWh)</t>
  </si>
  <si>
    <t>Source key →</t>
  </si>
  <si>
    <t>[8]–[12]</t>
  </si>
  <si>
    <t>[8][9][10][11][12]</t>
  </si>
  <si>
    <t>[38]</t>
  </si>
  <si>
    <t>Lists — data-validation sources (named ranges)</t>
  </si>
  <si>
    <t>Note — Time-to-power: for Norway/India/Ireland/Saudi the MEDIAN (Base, col G) is the editable register-sourced input; the Bear/Bull band is DERIVED = median × US-LBNL observed IQR (TTP_disp_hi/lo on the Interconnection Queue tab), so dispersion is consistent across all five. US is fully linked to the LBNL queue (median/p75/p25). Assumes connection-time dispersion is broadly grid-invariant; Ireland’s upper tail is likely fatter (CRU policy).</t>
  </si>
  <si>
    <t>List_ReviewStatus</t>
  </si>
  <si>
    <t>Pass</t>
  </si>
  <si>
    <t>Concern</t>
  </si>
  <si>
    <t>Fail</t>
  </si>
  <si>
    <t>List_Scenario</t>
  </si>
  <si>
    <t>range Assumptions!D9:F9 (single source; drives scenario MATCH)</t>
  </si>
  <si>
    <t>List_Country</t>
  </si>
  <si>
    <t>range Assumptions!B50:B54 (single source)</t>
  </si>
  <si>
    <t>Compute-price dynamics — erosion path (P0 row 14 = year-1/today; entry = P0*(1-decline)^TTP; Contracted locks entry, Merchant keeps eroding to the floor)</t>
  </si>
  <si>
    <t>Compute price annual decline</t>
  </si>
  <si>
    <t>[30]</t>
  </si>
  <si>
    <t>Annual decline of realized $/GPU-hr: Bear −30% (glut) / Base −20% / Bull −15%.</t>
  </si>
  <si>
    <t>Compute price floor ($/GPU-hr)</t>
  </si>
  <si>
    <t>[34][35][36]</t>
  </si>
  <si>
    <t>Full-cost floor = low-cost producer break-even (Norway/Saudi, NPV=0), see Price Floor tab. Base $2.50 sits inside the observed B200 committed-floor band $2.50–3.00; Bear $1.70 = crash/glut analog (H100 trough).</t>
  </si>
  <si>
    <t>B200 observed committed-floor band — low (Silicon Data SDB200RT)</t>
  </si>
  <si>
    <t>B200 observed committed-floor band — high (Silicon Data SDB200RT)</t>
  </si>
  <si>
    <t>Floor reconciliation tolerance ($/GPU-hr)</t>
  </si>
  <si>
    <t>Tolerance for the Price Floor internal-consistency check (|Base floor − model break-even|). Was a hardcoded 0.1 literal; promoted to a named range.</t>
  </si>
  <si>
    <t>Scope disclosures (mirror of Cover) — descriptive only, feeds no calculation:</t>
  </si>
  <si>
    <t>(1) Revenue is country-invariant: the compute price is applied identically across all five countries — no data-residency, sovereignty, latency, or local-demand price premia (defensible: compute is globally traded).</t>
  </si>
  <si>
    <t>(2) All figures are USD-nominal: revenue, power, capex, opex and salvage in USD; WACC is USD-nominal (Damodaran country-risk); no local-currency inflation is modeled.</t>
  </si>
  <si>
    <t>(3) FX risk is out of scope: India and Norway cash flows are treated in USD with no currency translation or hedging cost, though a real deployment would carry FX exposure on local power, tax and O&amp;M.</t>
  </si>
  <si>
    <t>Power-regime thresholds — Revenue Mix 'Power Regime' block only (presentation; feeds no P&amp;L):</t>
  </si>
  <si>
    <t>Share of revenue where Power is "material"</t>
  </si>
  <si>
    <t>analyst-derived presentation threshold</t>
  </si>
  <si>
    <t>Share of revenue where Power is "heavy"</t>
  </si>
  <si>
    <t>Energy Security inputs — WEC World Energy Trilemma Index (Energy Security dimension). Electricity mix (Ember 2024) drives diversity + firm share; self-sufficiency (IEA) = import independence.  Sources: generation mix [41]; self-sufficiency [42]; WEC framework [40].</t>
  </si>
  <si>
    <t>Hydro %</t>
  </si>
  <si>
    <t>Wind %</t>
  </si>
  <si>
    <t>Solar %</t>
  </si>
  <si>
    <t>Nuclear %</t>
  </si>
  <si>
    <t>Coal %</t>
  </si>
  <si>
    <t>Gas %</t>
  </si>
  <si>
    <t>Oil %</t>
  </si>
  <si>
    <t>Bio/other %</t>
  </si>
  <si>
    <t>Self-suff % (IEA)</t>
  </si>
  <si>
    <t>[41]</t>
  </si>
  <si>
    <t>[42]</t>
  </si>
  <si>
    <t>▸  CALCULATIONS</t>
  </si>
  <si>
    <t>Capex Stack — per MW build-up ($m/MW, active country)</t>
  </si>
  <si>
    <t>Total capex/MW decomposed into sourced layers. In-rack networking (NVLink/switching) is carried inside the rack-allocated GPU+IT figure (SemiAnalysis). Reconciles to the Unit Economics per-MW Base total.</t>
  </si>
  <si>
    <t>Layer</t>
  </si>
  <si>
    <t>Basis / source</t>
  </si>
  <si>
    <t>Shell / building (45% of facility, Base)</t>
  </si>
  <si>
    <t>Shell/building 45% of facility; life 25yr (McKinsey/dgtlinfra)</t>
  </si>
  <si>
    <t>Fit-out — cooling/MEP (55% of facility, Base)</t>
  </si>
  <si>
    <t>Fit-out cooling/MEP 55% of facility; life 12yr (liquid-cooled AI)</t>
  </si>
  <si>
    <t>GPU + in-rack IT/networking (per MW)</t>
  </si>
  <si>
    <t>SemiAnalysis Blackwell B200 server BOM ($42k/GPU × 600/MW)</t>
  </si>
  <si>
    <t>Interconnection (active country)</t>
  </si>
  <si>
    <t>Country cards — per-country interconnection ($m/MW)</t>
  </si>
  <si>
    <t>Total capex per MW (stack)</t>
  </si>
  <si>
    <t>Unit Economics Base capex/MW</t>
  </si>
  <si>
    <t>Reconciliation gap (must be 0)</t>
  </si>
  <si>
    <t>Unit Economics — one megawatt of IT load (bottom-up build block)</t>
  </si>
  <si>
    <t>The atomic build unit. Everything scales linearly from here: totals = per-MW × IT load. Blue = linked from Assumptions; black = calculated. Rows 14–15 are tied to independent benchmarks (external anchor).</t>
  </si>
  <si>
    <t>Item</t>
  </si>
  <si>
    <t>Value</t>
  </si>
  <si>
    <t>Note</t>
  </si>
  <si>
    <t>GPUs per MW (active)</t>
  </si>
  <si>
    <t>[3][17]</t>
  </si>
  <si>
    <t>GPU + IT capex per GPU (active)</t>
  </si>
  <si>
    <t>SemiAnalysis rack-allocated</t>
  </si>
  <si>
    <t>Compute price (active)</t>
  </si>
  <si>
    <t>Triangulated</t>
  </si>
  <si>
    <t>Paid occupancy (deal)</t>
  </si>
  <si>
    <t>Deal structure</t>
  </si>
  <si>
    <t>Facility capex per MW (active, ex-interconnect)</t>
  </si>
  <si>
    <t>AI liquid-cooled 2026</t>
  </si>
  <si>
    <t>Interconnection per MW (active country)</t>
  </si>
  <si>
    <t>Country cards</t>
  </si>
  <si>
    <t>— GPU capex per MW (active)</t>
  </si>
  <si>
    <t>GPUs/MW × $/GPU</t>
  </si>
  <si>
    <t>— Revenue per MW/yr (active)</t>
  </si>
  <si>
    <t>GPUs/MW × price × hrs × occ</t>
  </si>
  <si>
    <t>Total capex per MW (active) — rolls up to totals</t>
  </si>
  <si>
    <t>facility + interconnect + GPU (per MW)</t>
  </si>
  <si>
    <t>External anchor — BASE case tied to independent benchmarks (toggle-invariant)</t>
  </si>
  <si>
    <t>(errors only if Base leaves the sourced band — scenarios legitimately flex outside it)</t>
  </si>
  <si>
    <t>Base total capex per MW</t>
  </si>
  <si>
    <t>ANCHOR: independent DC all-in capex $30–50m/MW (SemiAnalysis Blackwell BOM / CBRE build cost)</t>
  </si>
  <si>
    <t>[15]</t>
  </si>
  <si>
    <t>Base revenue per MW/yr</t>
  </si>
  <si>
    <t>ANCHOR: hyperscale colo revenue $15–40m/MW/yr (SemiAnalysis rental index × density)</t>
  </si>
  <si>
    <t>[16]</t>
  </si>
  <si>
    <t>Roll-up reconciliation (active per-MW × IT load must tie to Calculations)</t>
  </si>
  <si>
    <t>Total capex per MW (active) × IT load</t>
  </si>
  <si>
    <t>Calculations facility + GPU capex</t>
  </si>
  <si>
    <t>Buildout Schedule — facility-capex draw &amp; reconciliation</t>
  </si>
  <si>
    <t>Facility capex is drawn evenly across the pre-power build (periods 0..S−1); GPUs are bought in full at energisation. The former 4-phase display was removed (Aug 2026): it did not feed the DCF and could be misread as a rival schedule. DCF timing comes from the draw schedule below; the reconciliation (H3) ties the DCF’s realised facility-capex line to the capex driver.</t>
  </si>
  <si>
    <t>Reconciliation gap (must be 0):</t>
  </si>
  <si>
    <t>Facility-capex DRAW schedule — active country: this is the TIMING the Calculations timeline reads (row 16). Facility capex is disbursed evenly across the build (periods 0..S−1), not all at t=0; GPU capex lands at ops-start.</t>
  </si>
  <si>
    <t>Ops start S (active, = ROUND(TTP))</t>
  </si>
  <si>
    <t>Period</t>
  </si>
  <si>
    <t>Draw weight (feeds Calculations!row48)</t>
  </si>
  <si>
    <t>Draw ($m)</t>
  </si>
  <si>
    <t>Draw schedule reconciles (weights sum to 1, $m sum to facility) — must be 0</t>
  </si>
  <si>
    <t>Facility capex total ($m)</t>
  </si>
  <si>
    <t>Assumption — facility draw profile: capex is spread EVENLY across the pre-power build (periods 0..S−1), GPUs purchased in full at energisation (ops-start). Modelling convention, not a separately toggled input.</t>
  </si>
  <si>
    <t>Assumption — ops-start uses integer periods: S = ROUND(time-to-power). Fractional-year queues round to the nearest annual period (e.g., 4.5 yr → period 5). Annual granularity is a deliberate simplification.</t>
  </si>
  <si>
    <t>Country Engine — every country × deal, per period (identical method to Calculations)</t>
  </si>
  <si>
    <t>Each country's full 20-period cash flow, computed BOTH deal types, so the multi-country and both-deal NPVs use the SAME method as the single-country drill — the closed-form that could out-run the grid is retired. Feeds Comparison (active deal) and Deal Comparison (both). All $m.</t>
  </si>
  <si>
    <t>Period index</t>
  </si>
  <si>
    <t>── Norway · Contracted ──</t>
  </si>
  <si>
    <t>Ops start S (yr)</t>
  </si>
  <si>
    <t>WACC (incl deal)</t>
  </si>
  <si>
    <t>Discount base v</t>
  </si>
  <si>
    <t>Power cost (full occ) $m</t>
  </si>
  <si>
    <t>Opex $m</t>
  </si>
  <si>
    <t>country row index</t>
  </si>
  <si>
    <t>Tax rate</t>
  </si>
  <si>
    <t>Facility capex $m</t>
  </si>
  <si>
    <t>GPU capex $m</t>
  </si>
  <si>
    <t>Year-1 full revenue $m</t>
  </si>
  <si>
    <t>operating flag</t>
  </si>
  <si>
    <t>occupancy</t>
  </si>
  <si>
    <t>price $/GPU-hr</t>
  </si>
  <si>
    <t>revenue</t>
  </si>
  <si>
    <t>depreciation</t>
  </si>
  <si>
    <t>tax</t>
  </si>
  <si>
    <t>net FCF</t>
  </si>
  <si>
    <t>discounted FCF</t>
  </si>
  <si>
    <t>op-margin PV term</t>
  </si>
  <si>
    <t>active TTP (raw)</t>
  </si>
  <si>
    <t>NPV ($m)</t>
  </si>
  <si>
    <t>Op-margin PV</t>
  </si>
  <si>
    <t>── Norway · Merchant ──</t>
  </si>
  <si>
    <t>── United States · Contracted ──</t>
  </si>
  <si>
    <t>── United States · Merchant ──</t>
  </si>
  <si>
    <t>── India · Contracted ──</t>
  </si>
  <si>
    <t>── India · Merchant ──</t>
  </si>
  <si>
    <t>── Ireland · Contracted ──</t>
  </si>
  <si>
    <t>── Ireland · Merchant ──</t>
  </si>
  <si>
    <t>── Saudi Arabia · Contracted ──</t>
  </si>
  <si>
    <t>── Saudi Arabia · Merchant ──</t>
  </si>
  <si>
    <t>── Norway · Instant ──</t>
  </si>
  <si>
    <t>── United States · Instant ──</t>
  </si>
  <si>
    <t>── India · Instant ──</t>
  </si>
  <si>
    <t>── Ireland · Instant ──</t>
  </si>
  <si>
    <t>── Saudi Arabia · Instant ──</t>
  </si>
  <si>
    <t>Contracted NPV</t>
  </si>
  <si>
    <t>Merchant NPV</t>
  </si>
  <si>
    <t>Active NPV</t>
  </si>
  <si>
    <t>Active BE</t>
  </si>
  <si>
    <t>Instant NPV</t>
  </si>
  <si>
    <t>▸  OUTPUTS</t>
  </si>
  <si>
    <t>Comparison — five-country infrastructure-cost ranking under COMMON revenue &amp; lawful-chip-access assumptions. CONDITIONAL: results depend on lawful Blackwell/B200 access (export-controlled for some destinations), single-point time-to-power estimates, and projected ~20%/yr price erosion toward the full-cost floor — see Limitations before citing any rank.</t>
  </si>
  <si>
    <t>Every country computed identically; none is the base. Scenario set on Assumptions; applies to all. Blue = country lever linked in; black = calculation; red = headline output. Drill on Calculations / Country detail.</t>
  </si>
  <si>
    <t>Scenario (set on Assumptions)</t>
  </si>
  <si>
    <t>Metric</t>
  </si>
  <si>
    <t>Country-varying levers (this scenario)</t>
  </si>
  <si>
    <t>Delivered power ($/MWh)</t>
  </si>
  <si>
    <t>Time-to-power (yr)</t>
  </si>
  <si>
    <t>Cost of capital — unlevered hurdle rate (incl. deal premium)</t>
  </si>
  <si>
    <t>Corporate tax</t>
  </si>
  <si>
    <t>PUE (per unit efficiency)</t>
  </si>
  <si>
    <t>Interconnection ($m/MW)</t>
  </si>
  <si>
    <t>Property tax rate (%/yr, pre-abate)</t>
  </si>
  <si>
    <t>Economics (per country; entry-price basis). NPV/BE come from the per-period Country Engine — these rows are descriptive.</t>
  </si>
  <si>
    <t>Ops start S (period) = ROUND(TTP)</t>
  </si>
  <si>
    <t>Entry price P_e ($/GPU-hr) = P0·(1−d)^TTP</t>
  </si>
  <si>
    <t>Revenue at entry (level, full occ, $m)</t>
  </si>
  <si>
    <t>Power cost ($m)</t>
  </si>
  <si>
    <t>GPU capex ($m) — country-invariant</t>
  </si>
  <si>
    <t>Facility capex incl. interconnect ($m)</t>
  </si>
  <si>
    <t>Opex — O&amp;M+ins+prop tax ($m)</t>
  </si>
  <si>
    <t>EBITDA at entry ($m)</t>
  </si>
  <si>
    <t>Total capex (facility + GPU) ($m)</t>
  </si>
  <si>
    <t>Effective energy burden ($/MWh) = PUE × price</t>
  </si>
  <si>
    <t>Results — from the per-period Country Engine (active deal).  ▲ INDICATIVE / DIRECTIONAL: NPVs are for cross-country RANKING, not bankable valuations. Also CONDITIONAL on lawful Blackwell access (US/NO/IE unrestricted; Saudi/India licensed/conditional — see Limitations #7). See the Limitations tab.</t>
  </si>
  <si>
    <t>NPV ($m) — per-period (Country Engine)</t>
  </si>
  <si>
    <t>Rank by NPV (this scenario)*</t>
  </si>
  <si>
    <t>Profitability index (1 + NPV/capital)</t>
  </si>
  <si>
    <t>Grid carbon intensity (gCO2/kWh) — context lens, NOT in NPV</t>
  </si>
  <si>
    <t>Water intensity (WUE / cooling-water) — not assessed (context lens, NOT in NPV; material in hot climates — India, Saudi)</t>
  </si>
  <si>
    <t>n/a</t>
  </si>
  <si>
    <t>* Ireland's NPV rank excludes the CRU self-generation capex &amp; ~6-yr renewables/approval burden (CRU 2025). It doesn't change the Base/Bull result (Ireland already last), but Ireland's Bear ‘least-bad’ rank is overstated and would fall if costed — see Limitations.</t>
  </si>
  <si>
    <t>Carbon-adjusted view — shadow price on grid CO₂ (separate lens; excluded from the NPV &amp; ranks above)</t>
  </si>
  <si>
    <t>Shadow carbon price ($/tCO₂) — set on Assumptions (context lens)</t>
  </si>
  <si>
    <t>Annual grid energy (MWh)</t>
  </si>
  <si>
    <t>Annual grid CO₂ (t/yr) = MWh × intensity ÷ 1000</t>
  </si>
  <si>
    <t>Carbon cost, PV over hold ($m) = t/yr × price × annuity ÷ 1e6</t>
  </si>
  <si>
    <t>Carbon-adjusted NPV ($m) = NPV − carbon cost PV</t>
  </si>
  <si>
    <t>Carbon-adjusted rank (this scenario)</t>
  </si>
  <si>
    <t>Method: grid CO₂ = IT energy × grid carbon intensity, costed at the shadow price and discounted over the operating hold using the same annuity as revenue. Illustrative — does not feed the NPV or ranks above.</t>
  </si>
  <si>
    <t>Sensitivity — price × utilization, lease-up ramp, one-way tornado</t>
  </si>
  <si>
    <t>For the country + scenario + deal selected on Assumptions. A two-way price×utilization grid and a one-way tornado; the LIVE case reconciles to the Comparison NPV (Checks). Scenarios/deal are COHERENT states, not free sliders. Labelled analysis; does not feed the P&amp;L. NOTE: the tornado is a closed-form approximation — exact at Base, indicative for floored/loss countries (see A53).</t>
  </si>
  <si>
    <t>Selected-country constants — CONTRACTED entry-price basis (from Calculations). The tornado is the contracted-case sensitivity; the live case reconciles to the engine NPV.</t>
  </si>
  <si>
    <t>Revenue base (level, entry price, full occ) ($m)</t>
  </si>
  <si>
    <t>Opex — O&amp;M+ins+proptax ($m)</t>
  </si>
  <si>
    <t>Deprec/yr ($m)</t>
  </si>
  <si>
    <t>Annuity factor (ops years)</t>
  </si>
  <si>
    <t>Capex PV (phased facility + GPU) ($m)</t>
  </si>
  <si>
    <t>Holding cost PV ($m)</t>
  </si>
  <si>
    <t>TV PV ($m)</t>
  </si>
  <si>
    <t>Base price×util (entry price × occ)</t>
  </si>
  <si>
    <t>Contracted NPV (selected, from engine)</t>
  </si>
  <si>
    <t>Live EBITDA ($m)</t>
  </si>
  <si>
    <t>Working — EBITDA ($m) at each price (cols) × utilization (rows)</t>
  </si>
  <si>
    <t>Two-way NPV grid ($m) — compute price (cols) × utilization (rows). A range; the live case reconciles below.</t>
  </si>
  <si>
    <t>Lease-up ramp — Base utilization is the blended average of a lease-up path (illustrative, sourced)</t>
  </si>
  <si>
    <t>Yr 1</t>
  </si>
  <si>
    <t>Yr 2</t>
  </si>
  <si>
    <t>Yr 3</t>
  </si>
  <si>
    <t>Yr 4</t>
  </si>
  <si>
    <t>Yr 5</t>
  </si>
  <si>
    <t>Occupancy (illustrative)</t>
  </si>
  <si>
    <t>Blended (simple average)</t>
  </si>
  <si>
    <t>~6–12mo lease-up (yr-1 ~65%) → steady state; the ~85% average is ILLUSTRATIVE (feeds nothing). Live Base occupancy is deal-driven (Assumptions G15). Sources: hyperscaler ramp tranches; CBRE colo vacancy 1.4%; CoreWeave ~74% pre-leased.</t>
  </si>
  <si>
    <t>Effective revenue per installed GPU-hr = price × utilization (cross-check vs neocloud)</t>
  </si>
  <si>
    <t>Model effective (Base P×U)</t>
  </si>
  <si>
    <t>Neocloud 2025 blended (CoreWeave rev/installed GPU)</t>
  </si>
  <si>
    <t>~$2–3</t>
  </si>
  <si>
    <t>Steady-state contracted (B200 committed ~$5.70)</t>
  </si>
  <si>
    <t>~$3.8</t>
  </si>
  <si>
    <t>Model effective (~4.5 × 0.88 Contracted) aligns with the contracted benchmark; lower 2025 blended reflects ramp + older-gen fleet (captured by the ramp above).</t>
  </si>
  <si>
    <t>Live case NPV (contracted, entry price, incl. ramp, $m)</t>
  </si>
  <si>
    <t>Read / method</t>
  </si>
  <si>
    <t>Read the DIAGONAL: a tight market lifts BOTH price and utilization (top-right), a glut cuts BOTH (bottom-left) — those are the coherent market states. Off-diagonal corners are transient operator trade-offs, not steady states.</t>
  </si>
  <si>
    <t>Check: live case NPV = Comparison NPV (all scenarios/deals)</t>
  </si>
  <si>
    <t>Tab check</t>
  </si>
  <si>
    <t>Density one-way (disclosure): GPUs/MW is a FLAT engineering spec (600), held OFF the Bear/Bull market toggle. Disclosed band 500–600; its one-way NPV effect is shown LIVE in the tornado (row 76). Across chip generations density &amp; chip price are physically coupled — read one at a time.</t>
  </si>
  <si>
    <t>One-way sensitivity (tornado) — CONTRACTED case. Each lever swings across its band; the base column reconciles to the engine NPV (Check). Levers move the LEVEL; the country ranking is invariant.</t>
  </si>
  <si>
    <t>LIMITATION (closed-form tornado): swings are computed from a parametric closed form, not the per-period engine. The base reconciles to the engine EXACTLY at Base scenario, but is an APPROXIMATION where the tax-loss kink binds — i.e. for floored/loss-making countries (US, Ireland at Base) whose entry price is at the .40 floor. Treat the swing magnitudes there as indicative, not exact; the ranking of levers (compute price ≫ decline &gt; chip ≈ density &gt; power) is robust. Flagged live by Checks C27 (sense).</t>
  </si>
  <si>
    <t>P0 $5</t>
  </si>
  <si>
    <t>P0 $9</t>
  </si>
  <si>
    <t>Decl −30%</t>
  </si>
  <si>
    <t>Decl −15%</t>
  </si>
  <si>
    <t>Density 500</t>
  </si>
  <si>
    <t>Chip $50k</t>
  </si>
  <si>
    <t>Chip $35k</t>
  </si>
  <si>
    <t>Salv 0.40</t>
  </si>
  <si>
    <t>Salv 0.55</t>
  </si>
  <si>
    <t>Power Bear</t>
  </si>
  <si>
    <t>Power Bull</t>
  </si>
  <si>
    <t>P0 ($/GPU-hr)</t>
  </si>
  <si>
    <t>Decline</t>
  </si>
  <si>
    <t>Density mult</t>
  </si>
  <si>
    <t>Chip mult</t>
  </si>
  <si>
    <t>Salvage</t>
  </si>
  <si>
    <t>Power mult</t>
  </si>
  <si>
    <t>Entry price P_e</t>
  </si>
  <si>
    <t>Revenue (level, full occ)</t>
  </si>
  <si>
    <t>Deprec/yr</t>
  </si>
  <si>
    <t>After-tax steady CF</t>
  </si>
  <si>
    <t>Capex PV (phased fac + GPU)</t>
  </si>
  <si>
    <t>TV PV</t>
  </si>
  <si>
    <t>Ramp haircut</t>
  </si>
  <si>
    <t>Check: tornado base = engine NPV (selected)</t>
  </si>
  <si>
    <t>Tornado — NPV swing per lever (contracted; each lever swung across its band, all else at base)</t>
  </si>
  <si>
    <t>Lever (band)</t>
  </si>
  <si>
    <t>Low NPV ($m)</t>
  </si>
  <si>
    <t>High NPV ($m)</t>
  </si>
  <si>
    <t>Swing ($m)</t>
  </si>
  <si>
    <t>Compute price P0 ($5 → $9 /GPU-hr)</t>
  </si>
  <si>
    <t>Price decline (−30% → −15% /yr)</t>
  </si>
  <si>
    <t>GPU density (500 → 600 /MW)</t>
  </si>
  <si>
    <t>Each bar swings ONE lever; the base reconciles to the per-period engine. Compute price and the erosion/decline rate now dominate (price is the whole revenue line); delivered power stays small (~2% of revenue). The country RANKING is invariant; levers move the LEVEL only.</t>
  </si>
  <si>
    <t>Tornado chart data (sorted by |swing|; floating bars span low→high NPV; base NPV = D75).</t>
  </si>
  <si>
    <t>offset (dev from base)</t>
  </si>
  <si>
    <t>swing ($m)</t>
  </si>
  <si>
    <t>Compute price P0 ($5→$9)</t>
  </si>
  <si>
    <t>Price decline (−30%→−15%)</t>
  </si>
  <si>
    <t>GPU chip price ($50k→$35k)</t>
  </si>
  <si>
    <t>GPU density (500→600/MW)</t>
  </si>
  <si>
    <t>Facility salvage (0.40→0.55)</t>
  </si>
  <si>
    <t>Delivered power (Bear↔Bull)</t>
  </si>
  <si>
    <t>Price Path — queue length is destiny (entry price = today’s price eroded over the queue, floored)</t>
  </si>
  <si>
    <t>The market rate erodes from today’s P0 toward the full-cost floor. A country switches on at the END of its interconnection queue — so a long queue means entering an already-collapsed market. Active scenario (Base).</t>
  </si>
  <si>
    <t>Market price path</t>
  </si>
  <si>
    <t>Country entry points (price at switch-on = end of queue)</t>
  </si>
  <si>
    <t>Years from today</t>
  </si>
  <si>
    <t>Market price ($/GPU-hr)</t>
  </si>
  <si>
    <t>Entry price ($/GPU-hr)</t>
  </si>
  <si>
    <t>Read: short-queue Norway/Saudi (~2 yr) switch on near today’s price; long-queue Ireland/US enter years into the decline, at or near the $2.70 floor — which is why a signed contract cannot rescue a slow-queue site. Floor = full-cost break-even (Price Floor tab). Source: model (Compute_P0, decline, floor; Comparison TTP/entry).</t>
  </si>
  <si>
    <t>Check — country entry = P0·(1−decline)^TTP, floored (ties to Comparison):</t>
  </si>
  <si>
    <t>Facility capex ($m)</t>
  </si>
  <si>
    <t>Compute-Price Floor — full-cost derivation &amp; external validation</t>
  </si>
  <si>
    <t>Model-generated: the break-even rental rate ($/GPU-hr at which each country reaches NPV=0), built from its own cost stack (capex, power, O&amp;M, WACC, tax). The floor = the low-cost producer (Norway/Saudi). Cross-checked against the Silicon Data B200 index. Diagnostic — does not feed the engine.</t>
  </si>
  <si>
    <t>Cost stack &amp; full-cost break-even (this scenario)</t>
  </si>
  <si>
    <t>Cost of capital — unlevered hurdle rate (incl. deal)</t>
  </si>
  <si>
    <t>Ops-start S (yr)</t>
  </si>
  <si>
    <t>Entry price P_e ($/GPU-hr)</t>
  </si>
  <si>
    <t>Revenue at entry ($m/yr, full occ)</t>
  </si>
  <si>
    <t>GPU capex ($m)</t>
  </si>
  <si>
    <t>Power ($m/yr)</t>
  </si>
  <si>
    <t>Opex — O&amp;M+ins+tax ($m/yr)</t>
  </si>
  <si>
    <t>NPV at entry price ($m)</t>
  </si>
  <si>
    <t>Discount factor v = 1/(1+WACC)</t>
  </si>
  <si>
    <t>Hold annuity A = v^(S+1)(1−v^L)/(1−v)</t>
  </si>
  <si>
    <t>Ramp-adj revenue annuity</t>
  </si>
  <si>
    <t>Revenue PV after-tax ($m)</t>
  </si>
  <si>
    <t>BREAK-EVEN rental rate ($/GPU-hr) [NPV=0]</t>
  </si>
  <si>
    <t>MODEL FULL-COST FLOOR = low-cost producer (min of Norway, Saudi)</t>
  </si>
  <si>
    <t>External validation — B200 observed committed-floor band (Silicon Data SDB200RT)</t>
  </si>
  <si>
    <t>B200 committed-floor band — low (SDB200RT)</t>
  </si>
  <si>
    <t>B200 committed-floor band — high (SDB200RT)</t>
  </si>
  <si>
    <t>Reconciliation</t>
  </si>
  <si>
    <t>Floor input, Base case (Assumptions)</t>
  </si>
  <si>
    <t>Model full-cost floor (this scenario)</t>
  </si>
  <si>
    <t>Internal-consistency flag (0=ok; |Base floor − model floor|, enforced at Base·Contracted)</t>
  </si>
  <si>
    <t>External-coherence flag (0=ok: band-low ≤ model floor ≤ band-high)</t>
  </si>
  <si>
    <t>Note: the full-cost floor is a Base-case central anchor ($2.50), cost-derived and inside the B200 observed committed-floor band ($2.50–3.00). The H100 completed cycle ($1.70 trough → $2.35 rebound) is the mean-reversion analog. Break-even is a linear (taxable&gt;0) approximation — exact for the profitable low-cost producers that set the floor.</t>
  </si>
  <si>
    <t>Sources: Silicon Data SDB200RT (B200 index, grade High); Silicon Analysts / neocloud cost decomposition (Med); H100 lifecycle analog $1.70→$2.35 (mean-reversion). Vintage 2026.</t>
  </si>
  <si>
    <t>One country in depth for the selected country/scenario: headline metrics linked from Calculations. IRR &amp; payback live here. Blue = linked from Calculations.</t>
  </si>
  <si>
    <t>Headline viability metrics (linked from Calculations)</t>
  </si>
  <si>
    <t>Total capex (facility + GPU)</t>
  </si>
  <si>
    <t>Annual EBITDA (steady state)</t>
  </si>
  <si>
    <t>NPV</t>
  </si>
  <si>
    <t>Power as % of revenue</t>
  </si>
  <si>
    <t>Cash-flow path (per period — linked from Calculations)</t>
  </si>
  <si>
    <t>Net FCF ($m)</t>
  </si>
  <si>
    <t>Cumulative FCF ($m)</t>
  </si>
  <si>
    <t>Rank</t>
  </si>
  <si>
    <t>Power Timing — what the grid queue costs, and the ranking if power were instant</t>
  </si>
  <si>
    <t>Counterfactual computed by the PER-PERIOD engine with ops-start forced to 0 (no queue; entry price = full P0, no erosion-over-the-wait). Blue = linked from the engine; red = headline. Exact — not a closed-form approximation.</t>
  </si>
  <si>
    <t>Actual NPV — with grid queue ($m)</t>
  </si>
  <si>
    <t>NPV if power were instant ($m)</t>
  </si>
  <si>
    <t>Rank today (by actual NPV)</t>
  </si>
  <si>
    <t>Rank if power instant</t>
  </si>
  <si>
    <t>Chart data (rows = countries)</t>
  </si>
  <si>
    <t>With grid queue</t>
  </si>
  <si>
    <t>If power instant</t>
  </si>
  <si>
    <t>Queue cost ($m)</t>
  </si>
  <si>
    <t>Check: instant-power NPV ≥ actual for every country (queue is a cost)</t>
  </si>
  <si>
    <t>Deal Comparison — contracted vs merchant NPV, every country, both deals at once</t>
  </si>
  <si>
    <t>Both deal types read straight from the per-period Country Engine (no separate replica to diverge). Contracted locks the eroded entry price; Merchant keeps eroding to the floor. Blue = linked from the engine; red = headline. The ACTIVE deal reconciles to Comparison (Checks).</t>
  </si>
  <si>
    <t>Contracted — NPV per country (per-period, from Country Engine)</t>
  </si>
  <si>
    <t>Contracted NPV ($m)</t>
  </si>
  <si>
    <t>Merchant — NPV per country (per-period, from Country Engine)</t>
  </si>
  <si>
    <t>Contracted − Merchant spread ($m) = value of the offtake</t>
  </si>
  <si>
    <t>Merchant NPV ($m)</t>
  </si>
  <si>
    <t>Reconciliation — the ACTIVE deal must equal the Comparison NPV</t>
  </si>
  <si>
    <t>NPV — active deal (tie target)</t>
  </si>
  <si>
    <t>Tie residual vs Comparison ($m)</t>
  </si>
  <si>
    <t>Tie total (into Checks)</t>
  </si>
  <si>
    <t>Asset Life — grid queue, then a 5-year GPU hold, inside a 25-year shell</t>
  </si>
  <si>
    <t>Years from start of build: the grid-queue wait, then the GPU operating hold (=GPU life), then residual shell life sold at salvage. Blue = linked. Liquidation year = queue + hold.</t>
  </si>
  <si>
    <t>Grid queue (yr)</t>
  </si>
  <si>
    <t>Operating (yr)</t>
  </si>
  <si>
    <t>Shell residual (yr)</t>
  </si>
  <si>
    <t>Liquidate (yr)</t>
  </si>
  <si>
    <t>Shell/building life (yr)</t>
  </si>
  <si>
    <t>Check: queue + hold ≤ shell life (residual ≥ 0)</t>
  </si>
  <si>
    <t>Faithful to the WEC World Energy Trilemma Index Energy-Security dimension: three sourced pillars, equal-weighted, 0–100. (1) Import independence = IEA energy self-sufficiency; (2) Generation diversity = 1−HHI on the Ember 2024 electricity mix; (3) System stability = firm/dispatchable share (all except variable wind+solar). Distinct from carbon (a separate Trilemma dimension).</t>
  </si>
  <si>
    <t>Import independence (self-suff %)</t>
  </si>
  <si>
    <t>Generation diversity (1−HHI)</t>
  </si>
  <si>
    <t>System stability (firm %)</t>
  </si>
  <si>
    <t>Energy-Security score (0–100)</t>
  </si>
  <si>
    <t>Per-country basis (Ember 2024 mix; IEA self-sufficiency): [40][41][42]</t>
  </si>
  <si>
    <t>Norway — self-sufficient + 90% firm, but ~88% hydro is a concentration/drought vulnerability → mid diversity score.</t>
  </si>
  <si>
    <t>United States — most diverse grid (gas 43 / nuclear 18 / coal 15 / wind 10 / hydro 6), self-sufficient, high firm share → highest security.</t>
  </si>
  <si>
    <t>India — high firm (coal 68), improving diversity, but ~60% energy self-sufficient (oil/gas imports).</t>
  </si>
  <si>
    <t>Ireland — lowest: ~21% self-sufficient (gas-import-dependent) and lower firm share (wind 33 / solar 4).</t>
  </si>
  <si>
    <t>Saudi Arabia — self-sufficient + ~98% firm (gas 63 / oil 35), but concentrated (low diversity).</t>
  </si>
  <si>
    <t>Water note (resource sovereignty): cooling-water availability is a related sovereignty constraint, material in hot climates (India, Saudi). Shown qualitatively — not in the index.</t>
  </si>
  <si>
    <t>Sources: WEC World Energy Trilemma (framework); IEA / IEEJ (energy self-sufficiency); Ember Global Electricity Review 2024 (electricity mix). See Sources tab.</t>
  </si>
  <si>
    <t>Check — electricity mix sums to 100% per country (max abs deviation):</t>
  </si>
  <si>
    <t>Three-Lens View — economics × energy security × carbon</t>
  </si>
  <si>
    <t>The NPV ranking is one lens. Energy security (WEC Trilemma) and grid carbon are independent lenses — no country leads all three. Active scenario/deal (headline = Base · Contracted).</t>
  </si>
  <si>
    <t>Economics</t>
  </si>
  <si>
    <t>Energy security</t>
  </si>
  <si>
    <t>Carbon (gCO₂/kWh)</t>
  </si>
  <si>
    <t>Carbon</t>
  </si>
  <si>
    <t>Normalized 0–100 for visual comparison (min–max within the five-country set; higher = better). Raw values above.</t>
  </si>
  <si>
    <t>Economics (NPV)</t>
  </si>
  <si>
    <t>Carbon (gCO₂/kWh) (cleaner=high)</t>
  </si>
  <si>
    <t>Read: no country wins all three. Saudi is strong on economics AND security but poor on carbon; Norway leads economics and carbon but is mid on security (98% hydro concentration); the US is the most energy-secure grid but with long interconnection queue time. Sources: NPV = Comparison (Country Engine); Energy security = WEC Trilemma dimension (Energy Sovereignty tab); Carbon = Comparison (Country Engine).</t>
  </si>
  <si>
    <t>Check — each lens ranks 1–5 (sum = 15):</t>
  </si>
  <si>
    <t>Power Cost — how much of revenue the electricity bill eats, by country × scenario</t>
  </si>
  <si>
    <t>Materiality = power cost ÷ revenue, both at the entry-price operating point. Entry price = P0·(1−decline)^TTP, floored. The ratio is DEAL-INVARIANT (paid occupancy cancels); $m magnitudes are shown at the active deal. Regime thresholds: “material” ≥ 10% of revenue, “power-heavy” ≥ 20% (Assumptions r76–77). Method identical to the Revenue Mix tab, generalised to all three scenarios.</t>
  </si>
  <si>
    <t>Materiality summary — power cost as % of revenue at entry (this table feeds the chart)</t>
  </si>
  <si>
    <t>Material line (10%)</t>
  </si>
  <si>
    <t>Check — Base column ties to live engine when Base is active (|Δ|&lt;0.001)</t>
  </si>
  <si>
    <t>Working — entry-price build by scenario (transparent; each block reconciles to the summary and to the live engine)</t>
  </si>
  <si>
    <t>Bear — glut (P0 $4.00 · decline 30%/yr · floor $1.70)</t>
  </si>
  <si>
    <t>Power $/MWh</t>
  </si>
  <si>
    <t>PUE (x)</t>
  </si>
  <si>
    <t>Eff. burden $/MWh</t>
  </si>
  <si>
    <t>Entry price $/GPU-hr</t>
  </si>
  <si>
    <t>Power cost $m</t>
  </si>
  <si>
    <t>Revenue $m</t>
  </si>
  <si>
    <t>Power % of rev</t>
  </si>
  <si>
    <t>Regime</t>
  </si>
  <si>
    <t>Base — central (P0 $5.70 · decline 20%/yr · floor $2.50)</t>
  </si>
  <si>
    <t>Bull — tight (P0 $9.00 · decline 15%/yr · floor $2.50)</t>
  </si>
  <si>
    <t>Read: power is a thin slice at today’s tight prices (Bull &lt; 3% almost everywhere) but crosses to MATERIAL under glut, when a long grid queue floors the entry price while local power stays dear. In Bear every country sits at the price floor, so materiality is set purely by PUE × local power: Ireland ~21% and the US/India ~16–18% breach the 10% “material” line, while cheap-power Norway/Saudi stay ~9%. Base: only Ireland (12%) is material. The queue is necessary; the local power price decides. This is the revenue-side mirror of the Holding Cost tab’s cost-side of “queue is destiny.”</t>
  </si>
  <si>
    <t>Sources: delivered power, time-to-power, PUE and the compute-price path all link from Assumptions (country levers r50–54; price path r14/r65/r66; sources [22][23][37] power, [24]–[28][46] TTP, [4] PUE, [5][30][34][35][36] price/floor). Materiality thresholds are analyst-derived presentation cut-offs (Assumptions r76–77). Method mirrors the Revenue Mix tab, generalised across scenarios.</t>
  </si>
  <si>
    <t>▸  CHECKS &amp; REVIEW</t>
  </si>
  <si>
    <t>Error tolerance ($m)</t>
  </si>
  <si>
    <t>ERROR total (must be 0)</t>
  </si>
  <si>
    <t>SENSE total (review if &gt;0)</t>
  </si>
  <si>
    <t>Flag (1=triggered)</t>
  </si>
  <si>
    <t>Error: single-country NPV ties to dashboard</t>
  </si>
  <si>
    <t>Error: single-hold exit fits the horizon (≤19)</t>
  </si>
  <si>
    <t>Error: outputs free of Excel errors</t>
  </si>
  <si>
    <t>Error: Calculations row-checks</t>
  </si>
  <si>
    <t>Sense checks</t>
  </si>
  <si>
    <t>Sense: power 1–40% of revenue</t>
  </si>
  <si>
    <t>Sense: IRR within -20% to 40%</t>
  </si>
  <si>
    <t>Sense: break-even util &lt;= 100% (n/a when all-loss)</t>
  </si>
  <si>
    <t>Sense: facility life &gt;= GPU life</t>
  </si>
  <si>
    <t>Power delivered vs observed industrial all-in</t>
  </si>
  <si>
    <t>Error: BASE capex/MW within sourced band $30–50m/MW</t>
  </si>
  <si>
    <t>Error: BASE revenue/MW/yr within sourced band $15–40m/MW</t>
  </si>
  <si>
    <t>Error: buildout schedule + roll-up reconcile to IT load &amp; capex</t>
  </si>
  <si>
    <t>WETI electricity mix sums to 100% per country</t>
  </si>
  <si>
    <t>Error: GPU density (NVIDIA datasheet) ties to Assumptions</t>
  </si>
  <si>
    <t>Error: compute-price P0 — ALL 3 scenarios within their sourced bands (unified control, table rows 33–37)</t>
  </si>
  <si>
    <t>Error: power build-up ties to country table (all 5)</t>
  </si>
  <si>
    <t>Error: WACC build-up ties to country table (all 5)</t>
  </si>
  <si>
    <t>Error: capex stack ties to Unit Economics per-MW</t>
  </si>
  <si>
    <t>Sense: tornado base ≈ engine NPV (contracted closed-form; exact at Base, approximate when the tax-loss kink binds)</t>
  </si>
  <si>
    <t>Error: Deal Comparison active-deal NPV ties to Comparison (all 5)</t>
  </si>
  <si>
    <t>Sense: n/a (single-hold, no re-tenant)</t>
  </si>
  <si>
    <t>Compute-price P0 input validation — one control, every scenario within its sourced range</t>
  </si>
  <si>
    <t>P0 $/GPU-hr (B200 committed)</t>
  </si>
  <si>
    <t>Out?</t>
  </si>
  <si>
    <t>Bear ∈ [custom-contract low $3.40 (getDeploying) → Base]</t>
  </si>
  <si>
    <t>Base ∈ [B200 spot/committed floor $3.35 → on-demand ceiling $8.20] (observed B200 envelope)</t>
  </si>
  <si>
    <t>Bull ∈ [on-demand ceiling $8.20 → tight-market/supply-peak $10]; B200 on-demand reaches $8.19, AWS $12.36</t>
  </si>
  <si>
    <t>All scenarios in band (0 = pass) → feeds error C23</t>
  </si>
  <si>
    <t>Independent review per PwC guidelines. Reviewer must not be the builder. Status via dropdown (Pass/Concern/Fail).</t>
  </si>
  <si>
    <t>Section</t>
  </si>
  <si>
    <t>Review step</t>
  </si>
  <si>
    <t>Status</t>
  </si>
  <si>
    <t>Reviewer / note</t>
  </si>
  <si>
    <t>Inputs</t>
  </si>
  <si>
    <t>All inputs sourced, dated, confidence-flagged (D6 fairness)</t>
  </si>
  <si>
    <t>No hard-codes in formulas; scenario switch drives Active column</t>
  </si>
  <si>
    <t>Data foundation</t>
  </si>
  <si>
    <t>Unit Economics per-MW rolls up; Buildout &amp; Scenario Grid Tables reconcile</t>
  </si>
  <si>
    <t>One formula per row copied across; timing flags correct</t>
  </si>
  <si>
    <t>No banned functions (OFFSET/INDIRECT/circular/array/nested IF)</t>
  </si>
  <si>
    <t>External anchors</t>
  </si>
  <si>
    <t>capex/MW &amp; revenue/MW/yr inside sourced bands</t>
  </si>
  <si>
    <t>All error flags = 0 under Bear/Base/Bull &amp; Contracted/Merchant</t>
  </si>
  <si>
    <t>Compliance</t>
  </si>
  <si>
    <t>Run Model_Compliance_Checklist.md end-to-end</t>
  </si>
  <si>
    <t>Revenue Mix — power is a thin slice at today’s price, but a long grid queue can flip it: power share rises as the eroded entry price falls, crossing to “material” where the queue floors the price AND local power is dear.</t>
  </si>
  <si>
    <t>Annual steady-state P&amp;L as a share of revenue for the selected country/scenario/deal (Assumptions). Blue = linked from Calculations. Power is ~2% — the tornado confirms it barely moves NPV.</t>
  </si>
  <si>
    <t>Share of revenue</t>
  </si>
  <si>
    <t>Power</t>
  </si>
  <si>
    <t>Other opex</t>
  </si>
  <si>
    <t>Share of revenue (%)</t>
  </si>
  <si>
    <t>Revenue ($m)</t>
  </si>
  <si>
    <t>Annual EBITDA ($m)</t>
  </si>
  <si>
    <t>Check: shares sum to 100%</t>
  </si>
  <si>
    <t>Power Regime — where power crosses from a thin slice to a material cost. Power cost is fixed per period; revenue scales with the entry price, so power share rises as P_e falls. Flip price is analytic.</t>
  </si>
  <si>
    <t>Power cost ($m/yr)</t>
  </si>
  <si>
    <t>Revenue at entry ($m/yr)</t>
  </si>
  <si>
    <t>Power % of revenue at entry</t>
  </si>
  <si>
    <t>EBITDA % at entry</t>
  </si>
  <si>
    <t>Regime  (thin &lt; material threshold · material · power-heavy above heavy threshold)</t>
  </si>
  <si>
    <t>Flip price → power = material threshold ($/GPU-hr) [analytic]</t>
  </si>
  <si>
    <t>Flip price → power = heavy threshold ($/GPU-hr) [analytic]</t>
  </si>
  <si>
    <t>Already past its material flip at entry? (the queue has made power material)</t>
  </si>
  <si>
    <t>Read (Base/Contracted): power is ~2.4–2.6% of revenue for the cheap-power leaders (Norway, Saudi) at entry, and crosses the 10% material line only for Ireland (12.5%) — its .40 floored entry price sits below its ~.00 flip price — while the US stays thin (5.4%) despite the same price floor because its power is cheap; the queue is necessary, the power price decides.</t>
  </si>
  <si>
    <t>(Compute-price erosion path moved to the dedicated Price Path tab.)</t>
  </si>
  <si>
    <t>1 - Power (% of revenue at entry)</t>
  </si>
  <si>
    <t>Payback period</t>
  </si>
  <si>
    <t>Breakeven utilization</t>
  </si>
  <si>
    <t>HD</t>
  </si>
  <si>
    <t>B200 has not yet entered its decline; the 20%/yr erosion and $2.50 floor drive the economics.</t>
  </si>
  <si>
    <t>NPV gap versus instant power ($m)</t>
  </si>
  <si>
    <t>HD 17 Aug, 2026 (self reviewed by builder, Claude Opus 4.8, and ChatGPT 5.6 Sol)</t>
  </si>
  <si>
    <t>Energy Security — Custom Proxy (WEC World Energy Trilemma Framework)</t>
  </si>
  <si>
    <t>Method: Energy-Security proxy score = equal-weighted mean of three 0–100 pillars (import independence, generation diversity 1−HHI, firm/dispatchable share). Framework: World Energy Council, World Energy Trilemma. Data: IEA (self-sufficiency), Ember 2024 (electricity mix).</t>
  </si>
  <si>
    <t>Energy-security</t>
  </si>
  <si>
    <t>Energy security (0-100)</t>
  </si>
  <si>
    <t>Owner: Henry Dalby   ·   Status: PUBLISH   ·   Periods 0–19 (annual)   ·   Single workbook, no external links</t>
  </si>
  <si>
    <t>Limitations</t>
  </si>
  <si>
    <t>scope qualifiation--read before the results</t>
  </si>
  <si>
    <t>Country Engine</t>
  </si>
  <si>
    <t>Price Floor</t>
  </si>
  <si>
    <t>Price Path</t>
  </si>
  <si>
    <t>Power Timing</t>
  </si>
  <si>
    <t>Deal Comparison</t>
  </si>
  <si>
    <t>Asset Life</t>
  </si>
  <si>
    <t>Energy Security</t>
  </si>
  <si>
    <t>Three-Lens View</t>
  </si>
  <si>
    <t>Power Cost</t>
  </si>
  <si>
    <t>Revenue Mix</t>
  </si>
  <si>
    <t>source data graded by confidence key</t>
  </si>
  <si>
    <t>primary spec data per single accelerator. B200</t>
  </si>
  <si>
    <t>getDeploying B200 panel  + Silicon Data SDB200RT index are the primary basis</t>
  </si>
  <si>
    <t>US data with observed dispersion calculation</t>
  </si>
  <si>
    <t>wholesale grid/firming prices</t>
  </si>
  <si>
    <t>USD-nominal cost of capital decomposed</t>
  </si>
  <si>
    <t>each country's full 20-period cash flow</t>
  </si>
  <si>
    <t>the break-even rental rate ($/GPU-hr at which each country reaches NPV=0), built from its own cost stack (capex, power, O&amp;M, WACC, tax)</t>
  </si>
  <si>
    <t>5-country headline</t>
  </si>
  <si>
    <t>gride-queue price erosion graphic</t>
  </si>
  <si>
    <t>Counterfactual computed by the PER-PERIOD engine with ops-start forced to 0 (no queue; entry price = full P0, no erosion-over-the-wait)</t>
  </si>
  <si>
    <t>both deal types read straight from the per-period Country Engine (no separate replica to diverge)</t>
  </si>
  <si>
    <t>years from start of build: the grid-queue wait, then the GPU operating hold (=GPU life), then residual shell life sold at salvage</t>
  </si>
  <si>
    <t>proxy ranking structured using WEC World Energy Trilemma Index Energy-Security dimension</t>
  </si>
  <si>
    <t>NPV, Energy Security and grid carbon rankings</t>
  </si>
  <si>
    <t>materiality (defined in assumptions) = power cost ÷ revenue, both at the entry-price operating point</t>
  </si>
  <si>
    <t>annual steady-state P&amp;L as a share of revenue for the selected country/scenario/deal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</si>
</sst>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"/>
    <numFmt numFmtId="165" formatCode="0.0%"/>
    <numFmt numFmtId="166" formatCode="#,##0.0;\(#,##0.0\)"/>
    <numFmt numFmtId="167" formatCode="#,##0.0;\(#,##0.0\);\-"/>
    <numFmt numFmtId="168" formatCode="0.0"/>
    <numFmt numFmtId="169" formatCode="0.000"/>
    <numFmt numFmtId="170" formatCode="#,##0.00;\(#,##0.00\)"/>
  </numFmts>
  <fonts count="45" x14ac:knownFonts="1">
    <font>
      <sz val="11"/>
      <color theme="1"/>
      <name val="Calibri"/>
      <family val="2"/>
      <charset val="1"/>
    </font>
    <font>
      <b/>
      <sz val="14"/>
      <color rgb="FF1F3B57"/>
      <name val="Cambria"/>
      <family val="1"/>
      <charset val="1"/>
    </font>
    <font>
      <b/>
      <sz val="11"/>
      <color rgb="FFCC0000"/>
      <name val="Cambria"/>
      <family val="1"/>
      <charset val="1"/>
    </font>
    <font>
      <b/>
      <sz val="11"/>
      <color rgb="FF1F3B57"/>
      <name val="Cambria"/>
      <family val="1"/>
      <charset val="1"/>
    </font>
    <font>
      <sz val="11"/>
      <color rgb="FF000000"/>
      <name val="Cambria"/>
      <family val="1"/>
      <charset val="1"/>
    </font>
    <font>
      <i/>
      <sz val="9"/>
      <color rgb="FF5B6B7A"/>
      <name val="Cambria"/>
      <family val="1"/>
      <charset val="1"/>
    </font>
    <font>
      <b/>
      <sz val="11"/>
      <name val="Cambria"/>
      <family val="1"/>
      <charset val="1"/>
    </font>
    <font>
      <b/>
      <sz val="11"/>
      <color rgb="FF000000"/>
      <name val="Cambria"/>
      <family val="1"/>
      <charset val="1"/>
    </font>
    <font>
      <sz val="11"/>
      <color rgb="FF0000CC"/>
      <name val="Cambria"/>
      <family val="1"/>
      <charset val="1"/>
    </font>
    <font>
      <sz val="11"/>
      <color rgb="FFCC0000"/>
      <name val="Cambria"/>
      <family val="1"/>
      <charset val="1"/>
    </font>
    <font>
      <u/>
      <sz val="11"/>
      <color rgb="FF0563C1"/>
      <name val="Cambria"/>
      <family val="1"/>
      <charset val="1"/>
    </font>
    <font>
      <b/>
      <sz val="11"/>
      <color rgb="FFFFFFFF"/>
      <name val="Cambria"/>
      <family val="1"/>
      <charset val="1"/>
    </font>
    <font>
      <b/>
      <sz val="12"/>
      <name val="Cambria"/>
      <family val="1"/>
      <charset val="1"/>
    </font>
    <font>
      <sz val="11"/>
      <name val="Cambria"/>
      <family val="1"/>
      <charset val="1"/>
    </font>
    <font>
      <b/>
      <sz val="13"/>
      <color rgb="FFFFFFFF"/>
      <name val="Cambria"/>
      <family val="1"/>
      <charset val="1"/>
    </font>
    <font>
      <i/>
      <sz val="11"/>
      <color rgb="FF7F7F7F"/>
      <name val="Cambria"/>
      <family val="1"/>
      <charset val="1"/>
    </font>
    <font>
      <i/>
      <sz val="11"/>
      <color rgb="FF7F7F7F"/>
      <name val="Cambria"/>
      <family val="1"/>
    </font>
    <font>
      <b/>
      <sz val="11"/>
      <color theme="0"/>
      <name val="Cambria"/>
      <family val="1"/>
      <charset val="1"/>
    </font>
    <font>
      <sz val="11"/>
      <color theme="0"/>
      <name val="Calibri"/>
      <family val="2"/>
      <charset val="1"/>
    </font>
    <font>
      <sz val="11"/>
      <color rgb="FF0000CC"/>
      <name val="Cambria"/>
      <family val="1"/>
      <charset val="1"/>
    </font>
    <font>
      <u/>
      <sz val="11"/>
      <color theme="10"/>
      <name val="Calibri"/>
      <family val="2"/>
      <charset val="1"/>
    </font>
    <font>
      <i/>
      <sz val="9"/>
      <color rgb="FF7F7F7F"/>
      <name val="Calibri"/>
      <family val="2"/>
    </font>
    <font>
      <i/>
      <sz val="9"/>
      <color theme="1" tint="0.499984740745262"/>
      <name val="Cambria"/>
      <family val="1"/>
      <charset val="1"/>
    </font>
    <font>
      <i/>
      <sz val="9"/>
      <color theme="1" tint="0.499984740745262"/>
      <name val="Calibri"/>
      <family val="2"/>
      <charset val="1"/>
    </font>
    <font>
      <i/>
      <sz val="9"/>
      <color rgb="FF7F7F7F"/>
      <name val="Cambria"/>
      <family val="1"/>
      <charset val="1"/>
    </font>
    <font>
      <i/>
      <sz val="9"/>
      <color theme="1" tint="0.499984740745262"/>
      <name val="Cambria"/>
      <family val="1"/>
    </font>
    <font>
      <sz val="11"/>
      <color theme="1"/>
      <name val="Cambria"/>
      <family val="1"/>
      <charset val="1"/>
    </font>
    <font>
      <i/>
      <sz val="9"/>
      <color theme="1"/>
      <name val="Cambria"/>
      <family val="1"/>
      <charset val="1"/>
    </font>
    <font>
      <i/>
      <sz val="9"/>
      <color theme="1"/>
      <name val="Calibri"/>
      <family val="2"/>
      <charset val="1"/>
    </font>
    <font>
      <b/>
      <sz val="11"/>
      <color theme="1"/>
      <name val="Calibri"/>
      <family val="2"/>
    </font>
    <font>
      <i/>
      <sz val="9"/>
      <color theme="1" tint="0.499984740745262"/>
      <name val="Calibri"/>
      <family val="2"/>
    </font>
    <font>
      <b/>
      <sz val="14"/>
      <color rgb="FF1F3B57"/>
      <name val="Cambria"/>
      <family val="1"/>
    </font>
    <font>
      <sz val="11"/>
      <color rgb="FFCC0000"/>
      <name val="Cambria"/>
      <family val="1"/>
    </font>
    <font>
      <sz val="9"/>
      <color rgb="FF5B6B7A"/>
      <name val="Cambria"/>
      <family val="1"/>
    </font>
    <font>
      <b/>
      <sz val="11"/>
      <color rgb="FF000000"/>
      <name val="Cambria"/>
      <family val="1"/>
    </font>
    <font>
      <b/>
      <sz val="11"/>
      <color rgb="FFFFFFFF"/>
      <name val="Cambria"/>
      <family val="1"/>
    </font>
    <font>
      <sz val="11"/>
      <color rgb="FF0000CC"/>
      <name val="Cambria"/>
      <family val="1"/>
    </font>
    <font>
      <sz val="11"/>
      <color rgb="FF000000"/>
      <name val="Cambria"/>
      <family val="1"/>
    </font>
    <font>
      <b/>
      <sz val="10"/>
      <color rgb="FF1F3B57"/>
      <name val="Cambria"/>
      <family val="1"/>
    </font>
    <font>
      <sz val="10"/>
      <color rgb="FF7F7F7F"/>
      <name val="Cambria"/>
      <family val="1"/>
    </font>
    <font>
      <sz val="11"/>
      <color theme="1"/>
      <name val="Calibri"/>
      <family val="2"/>
      <charset val="1"/>
    </font>
    <font>
      <sz val="11"/>
      <color rgb="FF0070C0"/>
      <name val="Calibri"/>
      <family val="2"/>
      <charset val="1"/>
    </font>
    <font>
      <i/>
      <sz val="9"/>
      <color theme="0" tint="-0.499984740745262"/>
      <name val="Cambria"/>
      <family val="1"/>
      <charset val="1"/>
    </font>
    <font>
      <i/>
      <sz val="9"/>
      <color theme="0" tint="-0.499984740745262"/>
      <name val="Cambria"/>
      <family val="1"/>
    </font>
    <font>
      <i/>
      <sz val="9"/>
      <color theme="0" tint="-0.499984740745262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EEF1F4"/>
        <bgColor rgb="FFE4E8EC"/>
      </patternFill>
    </fill>
    <fill>
      <patternFill patternType="solid">
        <fgColor rgb="FF1F3B57"/>
        <bgColor rgb="FF1F3A57"/>
      </patternFill>
    </fill>
    <fill>
      <patternFill patternType="solid">
        <fgColor rgb="FF375623"/>
        <bgColor rgb="FF1F3B57"/>
      </patternFill>
    </fill>
    <fill>
      <patternFill patternType="solid">
        <fgColor rgb="FFFFF6CC"/>
        <bgColor rgb="FFEEF1F4"/>
      </patternFill>
    </fill>
    <fill>
      <patternFill patternType="solid">
        <fgColor rgb="FF1F3A57"/>
        <bgColor rgb="FF1F3B57"/>
      </patternFill>
    </fill>
    <fill>
      <patternFill patternType="solid">
        <fgColor rgb="FF1F3A57"/>
        <bgColor indexed="64"/>
      </patternFill>
    </fill>
    <fill>
      <patternFill patternType="solid">
        <fgColor rgb="FF1F3B57"/>
      </patternFill>
    </fill>
  </fills>
  <borders count="5">
    <border>
      <left/>
      <right/>
      <top/>
      <bottom/>
      <diagonal/>
    </border>
    <border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  <diagonal/>
    </border>
    <border>
      <left style="thin">
        <color rgb="FFD0D5DB"/>
      </left>
      <right style="thin">
        <color rgb="FFD0D5DB"/>
      </right>
      <top/>
      <bottom style="thin">
        <color rgb="FFD0D5DB"/>
      </bottom>
      <diagonal/>
    </border>
    <border>
      <left style="thin">
        <color rgb="FFD0D5DB"/>
      </left>
      <right/>
      <top style="thin">
        <color rgb="FFD0D5DB"/>
      </top>
      <bottom style="thin">
        <color rgb="FFD0D5DB"/>
      </bottom>
      <diagonal/>
    </border>
    <border>
      <left/>
      <right style="thin">
        <color rgb="FFD0D5DB"/>
      </right>
      <top/>
      <bottom/>
      <diagonal/>
    </border>
  </borders>
  <cellStyleXfs count="3">
    <xf numFmtId="0" fontId="0" fillId="0" borderId="0"/>
    <xf numFmtId="0" fontId="20" fillId="0" borderId="0"/>
    <xf numFmtId="9" fontId="40" fillId="0" borderId="0" applyFont="0" applyFill="0" applyBorder="0" applyAlignment="0" applyProtection="0"/>
  </cellStyleXfs>
  <cellXfs count="1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3" borderId="1" xfId="0" applyFont="1" applyFill="1" applyBorder="1"/>
    <xf numFmtId="0" fontId="6" fillId="0" borderId="0" xfId="0" applyFont="1"/>
    <xf numFmtId="0" fontId="0" fillId="0" borderId="0" xfId="0" applyAlignment="1">
      <alignment wrapText="1"/>
    </xf>
    <xf numFmtId="0" fontId="12" fillId="0" borderId="0" xfId="0" applyFont="1"/>
    <xf numFmtId="0" fontId="11" fillId="4" borderId="0" xfId="0" applyFont="1" applyFill="1"/>
    <xf numFmtId="0" fontId="1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4" fillId="3" borderId="0" xfId="0" applyFont="1" applyFill="1" applyAlignment="1">
      <alignment horizontal="left"/>
    </xf>
    <xf numFmtId="0" fontId="0" fillId="3" borderId="0" xfId="0" applyFill="1"/>
    <xf numFmtId="0" fontId="15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7" fillId="0" borderId="0" xfId="0" applyFont="1"/>
    <xf numFmtId="0" fontId="15" fillId="0" borderId="0" xfId="0" applyFont="1"/>
    <xf numFmtId="164" fontId="8" fillId="0" borderId="0" xfId="0" applyNumberFormat="1" applyFont="1"/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2" fontId="4" fillId="0" borderId="0" xfId="0" applyNumberFormat="1" applyFont="1"/>
    <xf numFmtId="2" fontId="8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0" fontId="8" fillId="0" borderId="0" xfId="0" applyNumberFormat="1" applyFont="1"/>
    <xf numFmtId="10" fontId="4" fillId="0" borderId="0" xfId="0" applyNumberFormat="1" applyFont="1"/>
    <xf numFmtId="0" fontId="5" fillId="0" borderId="0" xfId="0" applyFont="1" applyAlignment="1">
      <alignment horizontal="left"/>
    </xf>
    <xf numFmtId="0" fontId="8" fillId="5" borderId="0" xfId="0" applyFont="1" applyFill="1" applyProtection="1">
      <protection locked="0"/>
    </xf>
    <xf numFmtId="2" fontId="8" fillId="5" borderId="0" xfId="0" applyNumberFormat="1" applyFont="1" applyFill="1" applyProtection="1">
      <protection locked="0"/>
    </xf>
    <xf numFmtId="2" fontId="7" fillId="2" borderId="0" xfId="0" applyNumberFormat="1" applyFont="1" applyFill="1"/>
    <xf numFmtId="10" fontId="8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5" fontId="7" fillId="2" borderId="0" xfId="0" applyNumberFormat="1" applyFont="1" applyFill="1"/>
    <xf numFmtId="164" fontId="8" fillId="5" borderId="0" xfId="0" applyNumberFormat="1" applyFont="1" applyFill="1" applyProtection="1">
      <protection locked="0"/>
    </xf>
    <xf numFmtId="1" fontId="8" fillId="0" borderId="0" xfId="0" applyNumberFormat="1" applyFont="1"/>
    <xf numFmtId="0" fontId="16" fillId="0" borderId="0" xfId="0" applyFont="1" applyAlignment="1">
      <alignment wrapText="1"/>
    </xf>
    <xf numFmtId="0" fontId="17" fillId="3" borderId="1" xfId="0" applyFont="1" applyFill="1" applyBorder="1"/>
    <xf numFmtId="0" fontId="17" fillId="3" borderId="1" xfId="0" applyFont="1" applyFill="1" applyBorder="1" applyAlignment="1">
      <alignment horizontal="center"/>
    </xf>
    <xf numFmtId="0" fontId="17" fillId="6" borderId="0" xfId="0" applyFont="1" applyFill="1"/>
    <xf numFmtId="1" fontId="8" fillId="5" borderId="0" xfId="0" applyNumberFormat="1" applyFont="1" applyFill="1" applyAlignment="1" applyProtection="1">
      <alignment horizontal="center"/>
      <protection locked="0"/>
    </xf>
    <xf numFmtId="166" fontId="4" fillId="0" borderId="0" xfId="0" applyNumberFormat="1" applyFont="1"/>
    <xf numFmtId="166" fontId="7" fillId="0" borderId="0" xfId="0" applyNumberFormat="1" applyFont="1"/>
    <xf numFmtId="166" fontId="8" fillId="0" borderId="0" xfId="0" applyNumberFormat="1" applyFont="1"/>
    <xf numFmtId="166" fontId="2" fillId="0" borderId="0" xfId="0" applyNumberFormat="1" applyFont="1"/>
    <xf numFmtId="0" fontId="11" fillId="3" borderId="1" xfId="0" applyFont="1" applyFill="1" applyBorder="1" applyAlignment="1">
      <alignment horizontal="center"/>
    </xf>
    <xf numFmtId="2" fontId="2" fillId="0" borderId="0" xfId="0" applyNumberFormat="1" applyFont="1"/>
    <xf numFmtId="167" fontId="4" fillId="0" borderId="0" xfId="0" applyNumberFormat="1" applyFont="1"/>
    <xf numFmtId="165" fontId="9" fillId="0" borderId="0" xfId="0" applyNumberFormat="1" applyFont="1"/>
    <xf numFmtId="164" fontId="9" fillId="0" borderId="0" xfId="0" applyNumberFormat="1" applyFont="1"/>
    <xf numFmtId="2" fontId="0" fillId="0" borderId="0" xfId="0" applyNumberFormat="1"/>
    <xf numFmtId="0" fontId="5" fillId="2" borderId="0" xfId="0" applyFont="1" applyFill="1"/>
    <xf numFmtId="165" fontId="8" fillId="0" borderId="0" xfId="0" applyNumberFormat="1" applyFont="1"/>
    <xf numFmtId="0" fontId="2" fillId="2" borderId="0" xfId="0" applyFont="1" applyFill="1"/>
    <xf numFmtId="164" fontId="2" fillId="0" borderId="0" xfId="0" applyNumberFormat="1" applyFont="1"/>
    <xf numFmtId="1" fontId="4" fillId="0" borderId="0" xfId="0" applyNumberFormat="1" applyFont="1"/>
    <xf numFmtId="1" fontId="0" fillId="0" borderId="0" xfId="0" applyNumberFormat="1"/>
    <xf numFmtId="168" fontId="8" fillId="0" borderId="0" xfId="0" applyNumberFormat="1" applyFont="1"/>
    <xf numFmtId="3" fontId="8" fillId="0" borderId="0" xfId="0" applyNumberFormat="1" applyFont="1"/>
    <xf numFmtId="169" fontId="4" fillId="0" borderId="0" xfId="0" applyNumberFormat="1" applyFont="1"/>
    <xf numFmtId="3" fontId="4" fillId="0" borderId="0" xfId="0" applyNumberFormat="1" applyFont="1"/>
    <xf numFmtId="2" fontId="7" fillId="0" borderId="0" xfId="0" applyNumberFormat="1" applyFont="1"/>
    <xf numFmtId="2" fontId="8" fillId="0" borderId="0" xfId="0" applyNumberFormat="1" applyFont="1" applyAlignment="1">
      <alignment horizontal="center"/>
    </xf>
    <xf numFmtId="3" fontId="0" fillId="0" borderId="0" xfId="0" applyNumberFormat="1"/>
    <xf numFmtId="0" fontId="8" fillId="0" borderId="1" xfId="0" applyFont="1" applyBorder="1" applyAlignment="1">
      <alignment horizontal="center"/>
    </xf>
    <xf numFmtId="166" fontId="9" fillId="0" borderId="0" xfId="0" applyNumberFormat="1" applyFont="1"/>
    <xf numFmtId="168" fontId="0" fillId="0" borderId="0" xfId="0" applyNumberFormat="1"/>
    <xf numFmtId="1" fontId="4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/>
    <xf numFmtId="0" fontId="19" fillId="0" borderId="0" xfId="0" applyFont="1" applyAlignment="1">
      <alignment horizontal="right"/>
    </xf>
    <xf numFmtId="0" fontId="20" fillId="0" borderId="0" xfId="1"/>
    <xf numFmtId="0" fontId="11" fillId="0" borderId="0" xfId="0" applyFont="1"/>
    <xf numFmtId="166" fontId="11" fillId="0" borderId="0" xfId="0" applyNumberFormat="1" applyFont="1"/>
    <xf numFmtId="0" fontId="21" fillId="0" borderId="0" xfId="0" applyFont="1"/>
    <xf numFmtId="0" fontId="17" fillId="7" borderId="0" xfId="0" applyFont="1" applyFill="1"/>
    <xf numFmtId="0" fontId="18" fillId="7" borderId="0" xfId="0" applyFont="1" applyFill="1"/>
    <xf numFmtId="0" fontId="22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165" fontId="25" fillId="0" borderId="0" xfId="0" applyNumberFormat="1" applyFont="1"/>
    <xf numFmtId="2" fontId="25" fillId="0" borderId="0" xfId="0" applyNumberFormat="1" applyFont="1"/>
    <xf numFmtId="0" fontId="11" fillId="3" borderId="2" xfId="0" applyFont="1" applyFill="1" applyBorder="1"/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29" fillId="0" borderId="0" xfId="0" applyFont="1"/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28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30" fillId="0" borderId="0" xfId="0" applyFont="1"/>
    <xf numFmtId="0" fontId="18" fillId="0" borderId="0" xfId="0" applyFont="1"/>
    <xf numFmtId="0" fontId="11" fillId="3" borderId="3" xfId="0" applyFont="1" applyFill="1" applyBorder="1"/>
    <xf numFmtId="0" fontId="23" fillId="0" borderId="0" xfId="0" applyFont="1" applyAlignment="1">
      <alignment horizontal="center"/>
    </xf>
    <xf numFmtId="10" fontId="25" fillId="0" borderId="0" xfId="0" applyNumberFormat="1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8" borderId="0" xfId="0" applyFont="1" applyFill="1" applyAlignment="1">
      <alignment horizontal="center"/>
    </xf>
    <xf numFmtId="0" fontId="36" fillId="0" borderId="0" xfId="0" applyFont="1"/>
    <xf numFmtId="165" fontId="37" fillId="0" borderId="0" xfId="0" applyNumberFormat="1" applyFont="1"/>
    <xf numFmtId="165" fontId="36" fillId="0" borderId="0" xfId="0" applyNumberFormat="1" applyFont="1"/>
    <xf numFmtId="0" fontId="37" fillId="0" borderId="0" xfId="0" applyFont="1"/>
    <xf numFmtId="0" fontId="38" fillId="0" borderId="0" xfId="0" applyFont="1"/>
    <xf numFmtId="164" fontId="36" fillId="0" borderId="0" xfId="0" applyNumberFormat="1" applyFont="1"/>
    <xf numFmtId="2" fontId="36" fillId="0" borderId="0" xfId="0" applyNumberFormat="1" applyFont="1"/>
    <xf numFmtId="164" fontId="37" fillId="0" borderId="0" xfId="0" applyNumberFormat="1" applyFont="1"/>
    <xf numFmtId="170" fontId="37" fillId="0" borderId="0" xfId="0" applyNumberFormat="1" applyFont="1"/>
    <xf numFmtId="166" fontId="37" fillId="0" borderId="0" xfId="0" applyNumberFormat="1" applyFont="1"/>
    <xf numFmtId="0" fontId="37" fillId="0" borderId="0" xfId="0" applyFont="1" applyAlignment="1">
      <alignment horizontal="left"/>
    </xf>
    <xf numFmtId="0" fontId="39" fillId="0" borderId="0" xfId="0" applyFont="1"/>
    <xf numFmtId="9" fontId="41" fillId="0" borderId="0" xfId="2" applyFont="1" applyAlignment="1">
      <alignment horizontal="right"/>
    </xf>
    <xf numFmtId="0" fontId="41" fillId="0" borderId="0" xfId="0" applyFont="1"/>
    <xf numFmtId="9" fontId="0" fillId="0" borderId="0" xfId="0" applyNumberForma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11" fillId="3" borderId="0" xfId="0" applyFont="1" applyFill="1" applyAlignment="1">
      <alignment horizontal="center"/>
    </xf>
    <xf numFmtId="0" fontId="11" fillId="3" borderId="4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10">
    <dxf>
      <font>
        <strike val="0"/>
        <condense val="0"/>
        <extend val="0"/>
        <outline val="0"/>
        <shadow val="0"/>
        <u/>
        <vertAlign val="baseline"/>
        <sz val="11"/>
        <color rgb="FF0563C1"/>
        <name val="Cambria"/>
        <family val="1"/>
        <charset val="1"/>
      </font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mbria"/>
        <family val="1"/>
        <charset val="1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mbria"/>
        <family val="1"/>
        <charset val="1"/>
      </font>
      <alignment horizontal="center" vertical="center"/>
    </dxf>
    <dxf>
      <font>
        <i/>
        <strike val="0"/>
        <condense val="0"/>
        <extend val="0"/>
        <outline val="0"/>
        <shadow val="0"/>
        <vertAlign val="baseline"/>
        <sz val="9"/>
        <color theme="1"/>
        <name val="Cambria"/>
        <family val="1"/>
        <charset val="1"/>
      </font>
      <alignment wrapText="1"/>
    </dxf>
    <dxf>
      <font>
        <i/>
        <strike val="0"/>
        <condense val="0"/>
        <extend val="0"/>
        <outline val="0"/>
        <shadow val="0"/>
        <vertAlign val="baseline"/>
        <sz val="9"/>
        <color theme="1"/>
        <name val="Cambria"/>
        <family val="1"/>
        <charset val="1"/>
      </font>
      <alignment wrapText="1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mbria"/>
        <family val="1"/>
        <charset val="1"/>
      </font>
      <alignment wrapText="1"/>
    </dxf>
    <dxf>
      <font>
        <b/>
      </font>
    </dxf>
    <dxf>
      <border outline="0">
        <top style="thin">
          <color rgb="FFD0D5DB"/>
        </top>
      </border>
    </dxf>
    <dxf>
      <border outline="0">
        <bottom style="thin">
          <color rgb="FFD0D5DB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mbria"/>
        <family val="1"/>
        <charset val="1"/>
      </font>
      <fill>
        <patternFill patternType="solid">
          <fgColor rgb="FF1F3A57"/>
          <bgColor rgb="FF1F3B57"/>
        </patternFill>
      </fill>
      <border outline="0">
        <left style="thin">
          <color rgb="FFD0D5DB"/>
        </left>
        <right style="thin">
          <color rgb="FFD0D5DB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CC"/>
      <rgbColor rgb="FFFFFF00"/>
      <rgbColor rgb="FFFF00FF"/>
      <rgbColor rgb="FF00FFFF"/>
      <rgbColor rgb="FF800000"/>
      <rgbColor rgb="FF4A7EBB"/>
      <rgbColor rgb="FF000080"/>
      <rgbColor rgb="FF548235"/>
      <rgbColor rgb="FF800080"/>
      <rgbColor rgb="FF2E6DA4"/>
      <rgbColor rgb="FFAEB6BD"/>
      <rgbColor rgb="FF7F7F7F"/>
      <rgbColor rgb="FF4F81BD"/>
      <rgbColor rgb="FFBE4B48"/>
      <rgbColor rgb="FFFFF6CC"/>
      <rgbColor rgb="FFEEF1F4"/>
      <rgbColor rgb="FF660066"/>
      <rgbColor rgb="FFFF8080"/>
      <rgbColor rgb="FF0563C1"/>
      <rgbColor rgb="FFD0D5DB"/>
      <rgbColor rgb="FF000080"/>
      <rgbColor rgb="FFFF00FF"/>
      <rgbColor rgb="FFFFFF00"/>
      <rgbColor rgb="FF00FFFF"/>
      <rgbColor rgb="FF800080"/>
      <rgbColor rgb="FF800000"/>
      <rgbColor rgb="FF2E75B6"/>
      <rgbColor rgb="FF0000FF"/>
      <rgbColor rgb="FF46AAC4"/>
      <rgbColor rgb="FFE4E8EC"/>
      <rgbColor rgb="FFD9D9D9"/>
      <rgbColor rgb="FFFFFF99"/>
      <rgbColor rgb="FFB3B3B3"/>
      <rgbColor rgb="FFFF99CC"/>
      <rgbColor rgb="FF8064A2"/>
      <rgbColor rgb="FF9BBB59"/>
      <rgbColor rgb="FF2A78D6"/>
      <rgbColor rgb="FF4BACC6"/>
      <rgbColor rgb="FF98B855"/>
      <rgbColor rgb="FFFFCC00"/>
      <rgbColor rgb="FFD9A441"/>
      <rgbColor rgb="FFD65A4A"/>
      <rgbColor rgb="FF5B6B7A"/>
      <rgbColor rgb="FF878787"/>
      <rgbColor rgb="FF1F3B57"/>
      <rgbColor rgb="FF2FA98C"/>
      <rgbColor rgb="FF003300"/>
      <rgbColor rgb="FF375623"/>
      <rgbColor rgb="FF993300"/>
      <rgbColor rgb="FFC0504D"/>
      <rgbColor rgb="FF7D5FA0"/>
      <rgbColor rgb="FF1F3A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48235"/>
      <color rgb="FFBF8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300" b="1" strike="noStrike" baseline="0">
                <a:solidFill>
                  <a:srgbClr val="000000"/>
                </a:solidFill>
                <a:uFillTx/>
                <a:latin typeface="Calibri"/>
              </a:rPr>
              <a:t>Time-to-power (yrs)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Time-to-power</c:v>
          </c:tx>
          <c:spPr>
            <a:ln>
              <a:prstDash val="solid"/>
            </a:ln>
          </c:spPr>
          <c:invertIfNegative val="0"/>
          <c:cat>
            <c:strRef>
              <c:f>Comparison!$C$6:$G$6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Comparison!$C$9:$G$9</c:f>
              <c:numCache>
                <c:formatCode>0.00</c:formatCode>
                <c:ptCount val="5"/>
                <c:pt idx="0">
                  <c:v>2</c:v>
                </c:pt>
                <c:pt idx="1">
                  <c:v>4.5</c:v>
                </c:pt>
                <c:pt idx="2">
                  <c:v>3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3-7243-8B14-CD1B0ACEF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78241"/>
        <c:axId val="12681909"/>
      </c:barChart>
      <c:catAx>
        <c:axId val="433782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2681909"/>
        <c:crosses val="autoZero"/>
        <c:auto val="1"/>
        <c:lblAlgn val="ctr"/>
        <c:lblOffset val="100"/>
        <c:noMultiLvlLbl val="0"/>
      </c:catAx>
      <c:valAx>
        <c:axId val="12681909"/>
        <c:scaling>
          <c:orientation val="minMax"/>
          <c:max val="6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.0;\(#,##0.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3378241"/>
        <c:crosses val="autoZero"/>
        <c:crossBetween val="between"/>
        <c:majorUnit val="2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300" b="1" strike="noStrike" baseline="0">
                <a:solidFill>
                  <a:srgbClr val="000000"/>
                </a:solidFill>
                <a:uFillTx/>
                <a:latin typeface="Calibri"/>
              </a:rPr>
              <a:t>Compute price when data center comes online </a:t>
            </a:r>
          </a:p>
          <a:p>
            <a:pPr>
              <a:defRPr sz="1300" b="0" strike="noStrike">
                <a:uFillTx/>
                <a:latin typeface="Arial"/>
              </a:defRPr>
            </a:pPr>
            <a:r>
              <a:rPr lang="en-US" sz="1300" b="1" strike="noStrike" baseline="0">
                <a:solidFill>
                  <a:srgbClr val="000000"/>
                </a:solidFill>
                <a:uFillTx/>
                <a:latin typeface="Calibri"/>
              </a:rPr>
              <a:t>(entry price; $/GPU-hr)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Entry Price ($/GPU-hr</c:v>
          </c:tx>
          <c:spPr>
            <a:solidFill>
              <a:schemeClr val="accent5"/>
            </a:solidFill>
            <a:ln>
              <a:prstDash val="solid"/>
            </a:ln>
          </c:spPr>
          <c:invertIfNegative val="0"/>
          <c:cat>
            <c:strRef>
              <c:f>Comparison!$C$6:$G$6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Comparison!$C$17:$G$17</c:f>
              <c:numCache>
                <c:formatCode>#,##0.0;\(#,##0.0\)</c:formatCode>
                <c:ptCount val="5"/>
                <c:pt idx="0">
                  <c:v>3.648000000000001</c:v>
                </c:pt>
                <c:pt idx="1">
                  <c:v>2.5</c:v>
                </c:pt>
                <c:pt idx="2">
                  <c:v>2.918400000000001</c:v>
                </c:pt>
                <c:pt idx="3">
                  <c:v>2.5</c:v>
                </c:pt>
                <c:pt idx="4">
                  <c:v>3.648000000000001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9-6745-BB9B-472BA9B05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78241"/>
        <c:axId val="12681909"/>
      </c:barChart>
      <c:catAx>
        <c:axId val="433782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2681909"/>
        <c:crosses val="autoZero"/>
        <c:auto val="1"/>
        <c:lblAlgn val="ctr"/>
        <c:lblOffset val="100"/>
        <c:noMultiLvlLbl val="0"/>
      </c:catAx>
      <c:valAx>
        <c:axId val="12681909"/>
        <c:scaling>
          <c:orientation val="minMax"/>
          <c:min val="2.4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.0;\(#,##0.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337824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300" b="1" strike="noStrike" baseline="0">
                <a:solidFill>
                  <a:srgbClr val="000000"/>
                </a:solidFill>
                <a:uFillTx/>
                <a:latin typeface="Calibri"/>
              </a:rPr>
              <a:t>Cost of delivered power ($/MWh)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Cost of delivered power ($/MWh)</c:v>
          </c:tx>
          <c:spPr>
            <a:solidFill>
              <a:schemeClr val="accent4"/>
            </a:solidFill>
            <a:ln>
              <a:prstDash val="solid"/>
            </a:ln>
          </c:spPr>
          <c:invertIfNegative val="0"/>
          <c:cat>
            <c:strRef>
              <c:f>Comparison!$C$6:$G$6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Comparison!$C$8:$G$8</c:f>
              <c:numCache>
                <c:formatCode>#,##0;\(#,##0\)</c:formatCode>
                <c:ptCount val="5"/>
                <c:pt idx="0">
                  <c:v>52</c:v>
                </c:pt>
                <c:pt idx="1">
                  <c:v>60</c:v>
                </c:pt>
                <c:pt idx="2">
                  <c:v>95</c:v>
                </c:pt>
                <c:pt idx="3">
                  <c:v>150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0-E94A-BC1D-32E03C2B8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78241"/>
        <c:axId val="12681909"/>
      </c:barChart>
      <c:catAx>
        <c:axId val="433782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2681909"/>
        <c:crosses val="autoZero"/>
        <c:auto val="1"/>
        <c:lblAlgn val="ctr"/>
        <c:lblOffset val="100"/>
        <c:noMultiLvlLbl val="0"/>
      </c:catAx>
      <c:valAx>
        <c:axId val="12681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.0;\(#,##0.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337824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300" b="1" strike="noStrike">
                <a:solidFill>
                  <a:srgbClr val="000000"/>
                </a:solidFill>
                <a:uFillTx/>
                <a:latin typeface="Calibri"/>
              </a:rPr>
              <a:t>NPV by country ($m) x Grid carbon intensity (gCO2/kWh)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NPV</c:v>
          </c:tx>
          <c:spPr>
            <a:solidFill>
              <a:srgbClr val="4F81BD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Comparison!$C$6:$G$6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Comparison!$C$38:$G$38</c:f>
              <c:numCache>
                <c:formatCode>#,##0.0;\(#,##0.0\)</c:formatCode>
                <c:ptCount val="5"/>
                <c:pt idx="0">
                  <c:v>1448.0113538157748</c:v>
                </c:pt>
                <c:pt idx="1">
                  <c:v>-281.96076514693641</c:v>
                </c:pt>
                <c:pt idx="2">
                  <c:v>12.417255788229795</c:v>
                </c:pt>
                <c:pt idx="3">
                  <c:v>-460.96697688295785</c:v>
                </c:pt>
                <c:pt idx="4">
                  <c:v>1428.751357007483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E-5E4D-AEC6-BFF9682A22A3}"/>
            </c:ext>
          </c:extLst>
        </c:ser>
        <c:ser>
          <c:idx val="1"/>
          <c:order val="1"/>
          <c:tx>
            <c:v>Carbon</c:v>
          </c:tx>
          <c:spPr>
            <a:solidFill>
              <a:srgbClr val="C0504D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Comparison!$C$6:$G$6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Comparison!$C$42:$G$42</c:f>
              <c:numCache>
                <c:formatCode>0</c:formatCode>
                <c:ptCount val="5"/>
                <c:pt idx="0">
                  <c:v>28</c:v>
                </c:pt>
                <c:pt idx="1">
                  <c:v>384</c:v>
                </c:pt>
                <c:pt idx="2">
                  <c:v>670</c:v>
                </c:pt>
                <c:pt idx="3">
                  <c:v>290</c:v>
                </c:pt>
                <c:pt idx="4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4E-5E4D-AEC6-BFF9682A2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800055"/>
        <c:axId val="38397654"/>
      </c:barChart>
      <c:catAx>
        <c:axId val="9880005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8397654"/>
        <c:crosses val="autoZero"/>
        <c:auto val="1"/>
        <c:lblAlgn val="ctr"/>
        <c:lblOffset val="100"/>
        <c:noMultiLvlLbl val="0"/>
      </c:catAx>
      <c:valAx>
        <c:axId val="38397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NPV ($m)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;\(#,##0.0\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880005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NPV ($m) vs carbon-adjusted</a:t>
            </a:r>
            <a:r>
              <a:rPr lang="en-US" b="1" baseline="0"/>
              <a:t> NPV ($m)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NPV</c:v>
          </c:tx>
          <c:spPr>
            <a:solidFill>
              <a:schemeClr val="tx2">
                <a:alpha val="47000"/>
              </a:schemeClr>
            </a:solidFill>
            <a:ln>
              <a:solidFill>
                <a:srgbClr val="D9D9D9"/>
              </a:solidFill>
              <a:prstDash val="solid"/>
            </a:ln>
          </c:spPr>
          <c:invertIfNegative val="0"/>
          <c:cat>
            <c:strRef>
              <c:f>Comparison!$C$6:$G$6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Comparison!$C$38:$G$38</c:f>
              <c:numCache>
                <c:formatCode>#,##0.0;\(#,##0.0\)</c:formatCode>
                <c:ptCount val="5"/>
                <c:pt idx="0">
                  <c:v>1448.0113538157748</c:v>
                </c:pt>
                <c:pt idx="1">
                  <c:v>-281.96076514693641</c:v>
                </c:pt>
                <c:pt idx="2">
                  <c:v>12.417255788229795</c:v>
                </c:pt>
                <c:pt idx="3">
                  <c:v>-460.96697688295785</c:v>
                </c:pt>
                <c:pt idx="4">
                  <c:v>1428.751357007483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3-C84F-9600-9516DE576985}"/>
            </c:ext>
          </c:extLst>
        </c:ser>
        <c:ser>
          <c:idx val="1"/>
          <c:order val="1"/>
          <c:tx>
            <c:v>Carbon-adjusted NPV</c:v>
          </c:tx>
          <c:spPr>
            <a:solidFill>
              <a:srgbClr val="7030A0"/>
            </a:solidFill>
            <a:ln>
              <a:solidFill>
                <a:srgbClr val="D9D9D9"/>
              </a:solidFill>
              <a:prstDash val="solid"/>
            </a:ln>
          </c:spPr>
          <c:invertIfNegative val="0"/>
          <c:cat>
            <c:strRef>
              <c:f>Comparison!$C$6:$G$6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Comparison!$C$50:$G$50</c:f>
              <c:numCache>
                <c:formatCode>0</c:formatCode>
                <c:ptCount val="5"/>
                <c:pt idx="0">
                  <c:v>1431.5488248958602</c:v>
                </c:pt>
                <c:pt idx="1">
                  <c:v>-494.19981265703387</c:v>
                </c:pt>
                <c:pt idx="2">
                  <c:v>-437.69056278367543</c:v>
                </c:pt>
                <c:pt idx="3">
                  <c:v>-594.93201563521257</c:v>
                </c:pt>
                <c:pt idx="4">
                  <c:v>999.64222066304399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53-C84F-9600-9516DE576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6567551"/>
        <c:axId val="696565759"/>
      </c:barChart>
      <c:catAx>
        <c:axId val="6965675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6565759"/>
        <c:crosses val="autoZero"/>
        <c:auto val="1"/>
        <c:lblAlgn val="ctr"/>
        <c:lblOffset val="100"/>
        <c:noMultiLvlLbl val="0"/>
      </c:catAx>
      <c:valAx>
        <c:axId val="696565759"/>
        <c:scaling>
          <c:orientation val="minMax"/>
          <c:max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;\(#,##0.0\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567551"/>
        <c:crosses val="autoZero"/>
        <c:crossBetween val="between"/>
        <c:majorUnit val="40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What moves single-hold NPV — one lever at a time (Base · Norway · contracted)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Sensitivity!$B$98:$B$103</c:f>
              <c:strCache>
                <c:ptCount val="6"/>
                <c:pt idx="0">
                  <c:v>Compute price P0 ($5→$9)</c:v>
                </c:pt>
                <c:pt idx="1">
                  <c:v>Price decline (−30%→−15%)</c:v>
                </c:pt>
                <c:pt idx="2">
                  <c:v>GPU chip price ($50k→$35k)</c:v>
                </c:pt>
                <c:pt idx="3">
                  <c:v>GPU density (500→600/MW)</c:v>
                </c:pt>
                <c:pt idx="4">
                  <c:v>Facility salvage (0.40→0.55)</c:v>
                </c:pt>
                <c:pt idx="5">
                  <c:v>Delivered power (Bear↔Bull)</c:v>
                </c:pt>
              </c:strCache>
            </c:strRef>
          </c:cat>
          <c:val>
            <c:numRef>
              <c:f>Sensitivity!$C$98:$C$103</c:f>
              <c:numCache>
                <c:formatCode>#,##0</c:formatCode>
                <c:ptCount val="6"/>
                <c:pt idx="0">
                  <c:v>77.881192724270875</c:v>
                </c:pt>
                <c:pt idx="1">
                  <c:v>371.3006114139024</c:v>
                </c:pt>
                <c:pt idx="2">
                  <c:v>1132.3247149809372</c:v>
                </c:pt>
                <c:pt idx="3">
                  <c:v>958.57619042159308</c:v>
                </c:pt>
                <c:pt idx="4">
                  <c:v>1387.8469916675313</c:v>
                </c:pt>
                <c:pt idx="5">
                  <c:v>1380.4283403550708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A-1244-A1F8-39ECF68B13AE}"/>
            </c:ext>
          </c:extLst>
        </c:ser>
        <c:ser>
          <c:idx val="1"/>
          <c:order val="1"/>
          <c:spPr>
            <a:solidFill>
              <a:srgbClr val="2E6DA4"/>
            </a:solidFill>
            <a:ln w="12600">
              <a:noFill/>
              <a:prstDash val="solid"/>
            </a:ln>
          </c:spPr>
          <c:invertIfNegative val="0"/>
          <c:cat>
            <c:strRef>
              <c:f>Sensitivity!$B$98:$B$103</c:f>
              <c:strCache>
                <c:ptCount val="6"/>
                <c:pt idx="0">
                  <c:v>Compute price P0 ($5→$9)</c:v>
                </c:pt>
                <c:pt idx="1">
                  <c:v>Price decline (−30%→−15%)</c:v>
                </c:pt>
                <c:pt idx="2">
                  <c:v>GPU chip price ($50k→$35k)</c:v>
                </c:pt>
                <c:pt idx="3">
                  <c:v>GPU density (500→600/MW)</c:v>
                </c:pt>
                <c:pt idx="4">
                  <c:v>Facility salvage (0.40→0.55)</c:v>
                </c:pt>
                <c:pt idx="5">
                  <c:v>Delivered power (Bear↔Bull)</c:v>
                </c:pt>
              </c:strCache>
            </c:strRef>
          </c:cat>
          <c:val>
            <c:numRef>
              <c:f>Sensitivity!$D$98:$D$103</c:f>
              <c:numCache>
                <c:formatCode>#,##0</c:formatCode>
                <c:ptCount val="6"/>
                <c:pt idx="0">
                  <c:v>4029.7945914455927</c:v>
                </c:pt>
                <c:pt idx="1">
                  <c:v>1668.9016507228966</c:v>
                </c:pt>
                <c:pt idx="2">
                  <c:v>591.91244781531577</c:v>
                </c:pt>
                <c:pt idx="3">
                  <c:v>489.43516339417943</c:v>
                </c:pt>
                <c:pt idx="4">
                  <c:v>180.49308644472376</c:v>
                </c:pt>
                <c:pt idx="5">
                  <c:v>120.68395260839566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8A-1244-A1F8-39ECF68B1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702683"/>
        <c:axId val="42868036"/>
      </c:barChart>
      <c:catAx>
        <c:axId val="8770268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NPV ($m) — bars span low→high; base ≈ $1,732m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2868036"/>
        <c:crosses val="autoZero"/>
        <c:auto val="1"/>
        <c:lblAlgn val="ctr"/>
        <c:lblOffset val="100"/>
        <c:noMultiLvlLbl val="0"/>
      </c:catAx>
      <c:valAx>
        <c:axId val="42868036"/>
        <c:scaling>
          <c:orientation val="maxMin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770268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300" b="1" strike="noStrike">
                <a:solidFill>
                  <a:srgbClr val="000000"/>
                </a:solidFill>
                <a:uFillTx/>
                <a:latin typeface="Calibri"/>
              </a:rPr>
              <a:t>NPV surface — compute price × utilization ($m)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Sensitivity!$B$27</c:f>
              <c:strCache>
                <c:ptCount val="1"/>
                <c:pt idx="0">
                  <c:v>60.00%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Sensitivity!$C$26:$G$26</c:f>
              <c:numCache>
                <c:formatCode>0.00</c:formatCode>
                <c:ptCount val="5"/>
                <c:pt idx="0">
                  <c:v>3</c:v>
                </c:pt>
                <c:pt idx="1">
                  <c:v>4</c:v>
                </c:pt>
                <c:pt idx="2">
                  <c:v>4.5</c:v>
                </c:pt>
                <c:pt idx="3">
                  <c:v>5.5</c:v>
                </c:pt>
                <c:pt idx="4">
                  <c:v>7</c:v>
                </c:pt>
              </c:numCache>
            </c:numRef>
          </c:cat>
          <c:val>
            <c:numRef>
              <c:f>Sensitivity!$C$27:$G$27</c:f>
              <c:numCache>
                <c:formatCode>#,##0.0;\(#,##0.0\)</c:formatCode>
                <c:ptCount val="5"/>
                <c:pt idx="0">
                  <c:v>-220.35155421441925</c:v>
                </c:pt>
                <c:pt idx="1">
                  <c:v>745.08630884904039</c:v>
                </c:pt>
                <c:pt idx="2">
                  <c:v>1227.8052403807692</c:v>
                </c:pt>
                <c:pt idx="3">
                  <c:v>2193.2431034442275</c:v>
                </c:pt>
                <c:pt idx="4">
                  <c:v>3641.3998980394158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0-A048-96C6-150E2DC8C1D8}"/>
            </c:ext>
          </c:extLst>
        </c:ser>
        <c:ser>
          <c:idx val="1"/>
          <c:order val="1"/>
          <c:tx>
            <c:strRef>
              <c:f>Sensitivity!$B$28</c:f>
              <c:strCache>
                <c:ptCount val="1"/>
                <c:pt idx="0">
                  <c:v>70.00%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Sensitivity!$C$26:$G$26</c:f>
              <c:numCache>
                <c:formatCode>0.00</c:formatCode>
                <c:ptCount val="5"/>
                <c:pt idx="0">
                  <c:v>3</c:v>
                </c:pt>
                <c:pt idx="1">
                  <c:v>4</c:v>
                </c:pt>
                <c:pt idx="2">
                  <c:v>4.5</c:v>
                </c:pt>
                <c:pt idx="3">
                  <c:v>5.5</c:v>
                </c:pt>
                <c:pt idx="4">
                  <c:v>7</c:v>
                </c:pt>
              </c:numCache>
            </c:numRef>
          </c:cat>
          <c:val>
            <c:numRef>
              <c:f>Sensitivity!$C$28:$G$28</c:f>
              <c:numCache>
                <c:formatCode>#,##0.0;\(#,##0.0\)</c:formatCode>
                <c:ptCount val="5"/>
                <c:pt idx="0">
                  <c:v>246.33038170308862</c:v>
                </c:pt>
                <c:pt idx="1">
                  <c:v>1372.674555277124</c:v>
                </c:pt>
                <c:pt idx="2">
                  <c:v>1935.8466420641412</c:v>
                </c:pt>
                <c:pt idx="3">
                  <c:v>3062.1908156381746</c:v>
                </c:pt>
                <c:pt idx="4">
                  <c:v>4751.7070759992284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40-A048-96C6-150E2DC8C1D8}"/>
            </c:ext>
          </c:extLst>
        </c:ser>
        <c:ser>
          <c:idx val="2"/>
          <c:order val="2"/>
          <c:tx>
            <c:strRef>
              <c:f>Sensitivity!$B$29</c:f>
              <c:strCache>
                <c:ptCount val="1"/>
                <c:pt idx="0">
                  <c:v>85.00%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Sensitivity!$C$26:$G$26</c:f>
              <c:numCache>
                <c:formatCode>0.00</c:formatCode>
                <c:ptCount val="5"/>
                <c:pt idx="0">
                  <c:v>3</c:v>
                </c:pt>
                <c:pt idx="1">
                  <c:v>4</c:v>
                </c:pt>
                <c:pt idx="2">
                  <c:v>4.5</c:v>
                </c:pt>
                <c:pt idx="3">
                  <c:v>5.5</c:v>
                </c:pt>
                <c:pt idx="4">
                  <c:v>7</c:v>
                </c:pt>
              </c:numCache>
            </c:numRef>
          </c:cat>
          <c:val>
            <c:numRef>
              <c:f>Sensitivity!$C$29:$G$29</c:f>
              <c:numCache>
                <c:formatCode>#,##0.0;\(#,##0.0\)</c:formatCode>
                <c:ptCount val="5"/>
                <c:pt idx="0">
                  <c:v>946.35328557935225</c:v>
                </c:pt>
                <c:pt idx="1">
                  <c:v>2314.0569249192517</c:v>
                </c:pt>
                <c:pt idx="2">
                  <c:v>2997.9087445892005</c:v>
                </c:pt>
                <c:pt idx="3">
                  <c:v>4365.6123839291004</c:v>
                </c:pt>
                <c:pt idx="4">
                  <c:v>6417.1678429389522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40-A048-96C6-150E2DC8C1D8}"/>
            </c:ext>
          </c:extLst>
        </c:ser>
        <c:ser>
          <c:idx val="3"/>
          <c:order val="3"/>
          <c:tx>
            <c:strRef>
              <c:f>Sensitivity!$B$30</c:f>
              <c:strCache>
                <c:ptCount val="1"/>
                <c:pt idx="0">
                  <c:v>90.00%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Sensitivity!$C$26:$G$26</c:f>
              <c:numCache>
                <c:formatCode>0.00</c:formatCode>
                <c:ptCount val="5"/>
                <c:pt idx="0">
                  <c:v>3</c:v>
                </c:pt>
                <c:pt idx="1">
                  <c:v>4</c:v>
                </c:pt>
                <c:pt idx="2">
                  <c:v>4.5</c:v>
                </c:pt>
                <c:pt idx="3">
                  <c:v>5.5</c:v>
                </c:pt>
                <c:pt idx="4">
                  <c:v>7</c:v>
                </c:pt>
              </c:numCache>
            </c:numRef>
          </c:cat>
          <c:val>
            <c:numRef>
              <c:f>Sensitivity!$C$30:$G$30</c:f>
              <c:numCache>
                <c:formatCode>#,##0.0;\(#,##0.0\)</c:formatCode>
                <c:ptCount val="5"/>
                <c:pt idx="0">
                  <c:v>1179.6942535381072</c:v>
                </c:pt>
                <c:pt idx="1">
                  <c:v>2627.8510481332937</c:v>
                </c:pt>
                <c:pt idx="2">
                  <c:v>3351.9294454308879</c:v>
                </c:pt>
                <c:pt idx="3">
                  <c:v>4800.0862400260748</c:v>
                </c:pt>
                <c:pt idx="4">
                  <c:v>6972.3214319188555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40-A048-96C6-150E2DC8C1D8}"/>
            </c:ext>
          </c:extLst>
        </c:ser>
        <c:ser>
          <c:idx val="4"/>
          <c:order val="4"/>
          <c:tx>
            <c:strRef>
              <c:f>Sensitivity!$B$31</c:f>
              <c:strCache>
                <c:ptCount val="1"/>
                <c:pt idx="0">
                  <c:v>95.00%</c:v>
                </c:pt>
              </c:strCache>
            </c:strRef>
          </c:tx>
          <c:spPr>
            <a:solidFill>
              <a:srgbClr val="4BACC6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Sensitivity!$C$26:$G$26</c:f>
              <c:numCache>
                <c:formatCode>0.00</c:formatCode>
                <c:ptCount val="5"/>
                <c:pt idx="0">
                  <c:v>3</c:v>
                </c:pt>
                <c:pt idx="1">
                  <c:v>4</c:v>
                </c:pt>
                <c:pt idx="2">
                  <c:v>4.5</c:v>
                </c:pt>
                <c:pt idx="3">
                  <c:v>5.5</c:v>
                </c:pt>
                <c:pt idx="4">
                  <c:v>7</c:v>
                </c:pt>
              </c:numCache>
            </c:numRef>
          </c:cat>
          <c:val>
            <c:numRef>
              <c:f>Sensitivity!$C$31:$G$31</c:f>
              <c:numCache>
                <c:formatCode>#,##0.0;\(#,##0.0\)</c:formatCode>
                <c:ptCount val="5"/>
                <c:pt idx="0">
                  <c:v>1413.0352214968602</c:v>
                </c:pt>
                <c:pt idx="1">
                  <c:v>2941.6451713473357</c:v>
                </c:pt>
                <c:pt idx="2">
                  <c:v>3705.9501462725743</c:v>
                </c:pt>
                <c:pt idx="3">
                  <c:v>5234.5600961230521</c:v>
                </c:pt>
                <c:pt idx="4">
                  <c:v>7527.4750208987643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40-A048-96C6-150E2DC8C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447723"/>
        <c:axId val="32924975"/>
      </c:barChart>
      <c:catAx>
        <c:axId val="924477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Compute price ($/GPU-hr)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2924975"/>
        <c:crosses val="autoZero"/>
        <c:auto val="1"/>
        <c:lblAlgn val="ctr"/>
        <c:lblOffset val="100"/>
        <c:noMultiLvlLbl val="0"/>
      </c:catAx>
      <c:valAx>
        <c:axId val="329249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NPV ($m)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;\(#,##0.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244772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Compute-price erosion — market path vs each country’s entry at its queue length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market price path</c:v>
          </c:tx>
          <c:spPr>
            <a:ln w="28080">
              <a:solidFill>
                <a:srgbClr val="2A78D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'Price Path'!$B$6:$B$14</c:f>
              <c:numCache>
                <c:formatCode>0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'Price Path'!$C$6:$C$14</c:f>
              <c:numCache>
                <c:formatCode>0.00</c:formatCode>
                <c:ptCount val="9"/>
                <c:pt idx="0">
                  <c:v>5.7</c:v>
                </c:pt>
                <c:pt idx="1">
                  <c:v>4.5600000000000005</c:v>
                </c:pt>
                <c:pt idx="2">
                  <c:v>3.648000000000001</c:v>
                </c:pt>
                <c:pt idx="3">
                  <c:v>2.918400000000001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79-9340-8871-08E3C5B08E1E}"/>
            </c:ext>
          </c:extLst>
        </c:ser>
        <c:ser>
          <c:idx val="1"/>
          <c:order val="1"/>
          <c:tx>
            <c:v>country entry price</c:v>
          </c:tx>
          <c:spPr>
            <a:ln w="12600">
              <a:noFill/>
              <a:prstDash val="solid"/>
            </a:ln>
          </c:spPr>
          <c:marker>
            <c:symbol val="circle"/>
            <c:size val="7"/>
            <c:spPr>
              <a:noFill/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'Price Path'!$F$6:$F$10</c:f>
              <c:numCache>
                <c:formatCode>0.0</c:formatCode>
                <c:ptCount val="5"/>
                <c:pt idx="0">
                  <c:v>2</c:v>
                </c:pt>
                <c:pt idx="1">
                  <c:v>4.5</c:v>
                </c:pt>
                <c:pt idx="2">
                  <c:v>3</c:v>
                </c:pt>
                <c:pt idx="3">
                  <c:v>6</c:v>
                </c:pt>
                <c:pt idx="4">
                  <c:v>2</c:v>
                </c:pt>
              </c:numCache>
            </c:numRef>
          </c:xVal>
          <c:yVal>
            <c:numRef>
              <c:f>'Price Path'!$G$6:$G$10</c:f>
              <c:numCache>
                <c:formatCode>0.00</c:formatCode>
                <c:ptCount val="5"/>
                <c:pt idx="0">
                  <c:v>3.648000000000001</c:v>
                </c:pt>
                <c:pt idx="1">
                  <c:v>2.5</c:v>
                </c:pt>
                <c:pt idx="2">
                  <c:v>2.918400000000001</c:v>
                </c:pt>
                <c:pt idx="3">
                  <c:v>2.5</c:v>
                </c:pt>
                <c:pt idx="4">
                  <c:v>3.648000000000001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79-9340-8871-08E3C5B08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57829"/>
        <c:axId val="76691383"/>
      </c:scatterChart>
      <c:valAx>
        <c:axId val="3695782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Years from today (≈ interconnection queue)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6691383"/>
        <c:crosses val="autoZero"/>
        <c:crossBetween val="midCat"/>
      </c:valAx>
      <c:valAx>
        <c:axId val="766913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$/GPU-hr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6957829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300" b="1" strike="noStrike">
                <a:solidFill>
                  <a:srgbClr val="000000"/>
                </a:solidFill>
                <a:uFillTx/>
                <a:latin typeface="Calibri"/>
              </a:rPr>
              <a:t>Cash-flow path — Net FCF &amp; cumulative ($m)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'Country detail'!$B$15:$U$15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cat>
          <c:val>
            <c:numRef>
              <c:f>'Country detail'!$B$16:$U$16</c:f>
              <c:numCache>
                <c:formatCode>#,##0.0;\(#,##0.0\)</c:formatCode>
                <c:ptCount val="20"/>
                <c:pt idx="0">
                  <c:v>-870</c:v>
                </c:pt>
                <c:pt idx="1">
                  <c:v>-896.1</c:v>
                </c:pt>
                <c:pt idx="2">
                  <c:v>-1646.14101536</c:v>
                </c:pt>
                <c:pt idx="3">
                  <c:v>1155.9867337600001</c:v>
                </c:pt>
                <c:pt idx="4">
                  <c:v>1348.0075456000002</c:v>
                </c:pt>
                <c:pt idx="5">
                  <c:v>1348.0075456000002</c:v>
                </c:pt>
                <c:pt idx="6">
                  <c:v>2327.5675455999999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2-AC46-B872-D092930A2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599139"/>
        <c:axId val="2613916"/>
      </c:barChart>
      <c:lineChart>
        <c:grouping val="standard"/>
        <c:varyColors val="0"/>
        <c:ser>
          <c:idx val="1"/>
          <c:order val="1"/>
          <c:spPr>
            <a:ln w="1260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'Country detail'!$B$15:$U$15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cat>
          <c:val>
            <c:numRef>
              <c:f>'Country detail'!$B$17:$U$17</c:f>
              <c:numCache>
                <c:formatCode>#,##0.0;\(#,##0.0\)</c:formatCode>
                <c:ptCount val="20"/>
                <c:pt idx="0">
                  <c:v>-870</c:v>
                </c:pt>
                <c:pt idx="1">
                  <c:v>-1766.1</c:v>
                </c:pt>
                <c:pt idx="2">
                  <c:v>-3412.2410153599999</c:v>
                </c:pt>
                <c:pt idx="3">
                  <c:v>-2256.2542815999996</c:v>
                </c:pt>
                <c:pt idx="4">
                  <c:v>-908.24673599999937</c:v>
                </c:pt>
                <c:pt idx="5">
                  <c:v>439.76080960000081</c:v>
                </c:pt>
                <c:pt idx="6">
                  <c:v>2767.3283552000007</c:v>
                </c:pt>
                <c:pt idx="7">
                  <c:v>2767.3283552000007</c:v>
                </c:pt>
                <c:pt idx="8">
                  <c:v>2767.3283552000007</c:v>
                </c:pt>
                <c:pt idx="9">
                  <c:v>2767.3283552000007</c:v>
                </c:pt>
                <c:pt idx="10">
                  <c:v>2767.3283552000007</c:v>
                </c:pt>
                <c:pt idx="11">
                  <c:v>2767.3283552000007</c:v>
                </c:pt>
                <c:pt idx="12">
                  <c:v>2767.3283552000007</c:v>
                </c:pt>
                <c:pt idx="13">
                  <c:v>2767.3283552000007</c:v>
                </c:pt>
                <c:pt idx="14">
                  <c:v>2767.3283552000007</c:v>
                </c:pt>
                <c:pt idx="15">
                  <c:v>2767.3283552000007</c:v>
                </c:pt>
                <c:pt idx="16">
                  <c:v>2767.3283552000007</c:v>
                </c:pt>
                <c:pt idx="17">
                  <c:v>2767.3283552000007</c:v>
                </c:pt>
                <c:pt idx="18">
                  <c:v>2767.3283552000007</c:v>
                </c:pt>
                <c:pt idx="19">
                  <c:v>2767.3283552000007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B2-AC46-B872-D092930A2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30599139"/>
        <c:axId val="2613916"/>
      </c:lineChart>
      <c:catAx>
        <c:axId val="305991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Period (year from FID)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613916"/>
        <c:crosses val="autoZero"/>
        <c:auto val="1"/>
        <c:lblAlgn val="ctr"/>
        <c:lblOffset val="100"/>
        <c:noMultiLvlLbl val="0"/>
      </c:catAx>
      <c:valAx>
        <c:axId val="26139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;\(#,##0.0\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059913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Calibri"/>
              </a:rPr>
              <a:t>NPV today vs if power were instant ($m) (base scenario)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'Power Timing'!$B$21</c:f>
              <c:strCache>
                <c:ptCount val="1"/>
                <c:pt idx="0">
                  <c:v>Norway</c:v>
                </c:pt>
              </c:strCache>
            </c:strRef>
          </c:tx>
          <c:spPr>
            <a:ln w="25400">
              <a:solidFill>
                <a:srgbClr val="4A7EBB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'Power Timing'!$C$20:$D$20</c:f>
              <c:strCache>
                <c:ptCount val="2"/>
                <c:pt idx="0">
                  <c:v>With grid queue</c:v>
                </c:pt>
                <c:pt idx="1">
                  <c:v>If power instant</c:v>
                </c:pt>
              </c:strCache>
            </c:strRef>
          </c:cat>
          <c:val>
            <c:numRef>
              <c:f>'Power Timing'!$C$21:$D$21</c:f>
              <c:numCache>
                <c:formatCode>#,##0.0;\(#,##0.0\)</c:formatCode>
                <c:ptCount val="2"/>
                <c:pt idx="0">
                  <c:v>1448.0113538157748</c:v>
                </c:pt>
                <c:pt idx="1">
                  <c:v>4782.4226823253293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0-9048-A729-E362C651E57C}"/>
            </c:ext>
          </c:extLst>
        </c:ser>
        <c:ser>
          <c:idx val="1"/>
          <c:order val="1"/>
          <c:tx>
            <c:strRef>
              <c:f>'Power Timing'!$B$22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5400">
              <a:solidFill>
                <a:srgbClr val="BE4B48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'Power Timing'!$C$20:$D$20</c:f>
              <c:strCache>
                <c:ptCount val="2"/>
                <c:pt idx="0">
                  <c:v>With grid queue</c:v>
                </c:pt>
                <c:pt idx="1">
                  <c:v>If power instant</c:v>
                </c:pt>
              </c:strCache>
            </c:strRef>
          </c:cat>
          <c:val>
            <c:numRef>
              <c:f>'Power Timing'!$C$22:$D$22</c:f>
              <c:numCache>
                <c:formatCode>#,##0.0;\(#,##0.0\)</c:formatCode>
                <c:ptCount val="2"/>
                <c:pt idx="0">
                  <c:v>-281.96076514693641</c:v>
                </c:pt>
                <c:pt idx="1">
                  <c:v>4747.3517709849639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0-9048-A729-E362C651E57C}"/>
            </c:ext>
          </c:extLst>
        </c:ser>
        <c:ser>
          <c:idx val="2"/>
          <c:order val="2"/>
          <c:tx>
            <c:strRef>
              <c:f>'Power Timing'!$B$23</c:f>
              <c:strCache>
                <c:ptCount val="1"/>
                <c:pt idx="0">
                  <c:v>India</c:v>
                </c:pt>
              </c:strCache>
            </c:strRef>
          </c:tx>
          <c:spPr>
            <a:ln w="25400">
              <a:solidFill>
                <a:srgbClr val="98B855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'Power Timing'!$C$20:$D$20</c:f>
              <c:strCache>
                <c:ptCount val="2"/>
                <c:pt idx="0">
                  <c:v>With grid queue</c:v>
                </c:pt>
                <c:pt idx="1">
                  <c:v>If power instant</c:v>
                </c:pt>
              </c:strCache>
            </c:strRef>
          </c:cat>
          <c:val>
            <c:numRef>
              <c:f>'Power Timing'!$C$23:$D$23</c:f>
              <c:numCache>
                <c:formatCode>#,##0.0;\(#,##0.0\)</c:formatCode>
                <c:ptCount val="2"/>
                <c:pt idx="0">
                  <c:v>12.417255788229795</c:v>
                </c:pt>
                <c:pt idx="1">
                  <c:v>4090.039003230544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0-9048-A729-E362C651E57C}"/>
            </c:ext>
          </c:extLst>
        </c:ser>
        <c:ser>
          <c:idx val="3"/>
          <c:order val="3"/>
          <c:tx>
            <c:strRef>
              <c:f>'Power Timing'!$B$24</c:f>
              <c:strCache>
                <c:ptCount val="1"/>
                <c:pt idx="0">
                  <c:v>Ireland</c:v>
                </c:pt>
              </c:strCache>
            </c:strRef>
          </c:tx>
          <c:spPr>
            <a:ln w="25400">
              <a:solidFill>
                <a:srgbClr val="7D5FA0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'Power Timing'!$C$20:$D$20</c:f>
              <c:strCache>
                <c:ptCount val="2"/>
                <c:pt idx="0">
                  <c:v>With grid queue</c:v>
                </c:pt>
                <c:pt idx="1">
                  <c:v>If power instant</c:v>
                </c:pt>
              </c:strCache>
            </c:strRef>
          </c:cat>
          <c:val>
            <c:numRef>
              <c:f>'Power Timing'!$C$24:$D$24</c:f>
              <c:numCache>
                <c:formatCode>#,##0.0;\(#,##0.0\)</c:formatCode>
                <c:ptCount val="2"/>
                <c:pt idx="0">
                  <c:v>-460.96697688295785</c:v>
                </c:pt>
                <c:pt idx="1">
                  <c:v>5050.1705094795743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70-9048-A729-E362C651E57C}"/>
            </c:ext>
          </c:extLst>
        </c:ser>
        <c:ser>
          <c:idx val="4"/>
          <c:order val="4"/>
          <c:tx>
            <c:strRef>
              <c:f>'Power Timing'!$B$25</c:f>
              <c:strCache>
                <c:ptCount val="1"/>
                <c:pt idx="0">
                  <c:v>Saudi Arabia</c:v>
                </c:pt>
              </c:strCache>
            </c:strRef>
          </c:tx>
          <c:spPr>
            <a:ln w="25400">
              <a:solidFill>
                <a:srgbClr val="46AAC4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46AAC4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'Power Timing'!$C$20:$D$20</c:f>
              <c:strCache>
                <c:ptCount val="2"/>
                <c:pt idx="0">
                  <c:v>With grid queue</c:v>
                </c:pt>
                <c:pt idx="1">
                  <c:v>If power instant</c:v>
                </c:pt>
              </c:strCache>
            </c:strRef>
          </c:cat>
          <c:val>
            <c:numRef>
              <c:f>'Power Timing'!$C$25:$D$25</c:f>
              <c:numCache>
                <c:formatCode>#,##0.0;\(#,##0.0\)</c:formatCode>
                <c:ptCount val="2"/>
                <c:pt idx="0">
                  <c:v>1428.751357007483</c:v>
                </c:pt>
                <c:pt idx="1">
                  <c:v>4834.222440552905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70-9048-A729-E362C651E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91686726"/>
        <c:axId val="55762884"/>
      </c:lineChart>
      <c:catAx>
        <c:axId val="9168672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5762884"/>
        <c:crosses val="autoZero"/>
        <c:auto val="1"/>
        <c:lblAlgn val="ctr"/>
        <c:lblOffset val="100"/>
        <c:noMultiLvlLbl val="0"/>
      </c:catAx>
      <c:valAx>
        <c:axId val="557628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NPV ($m)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;\(#,##0.0\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4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168672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300" b="1" strike="noStrike">
                <a:solidFill>
                  <a:srgbClr val="000000"/>
                </a:solidFill>
                <a:uFillTx/>
                <a:latin typeface="Calibri"/>
              </a:rPr>
              <a:t>Cost of the grid queue ($m)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D9A441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'Power Timing'!$B$21:$B$25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'Power Timing'!$E$21:$E$25</c:f>
              <c:numCache>
                <c:formatCode>#,##0.0;\(#,##0.0\)</c:formatCode>
                <c:ptCount val="5"/>
                <c:pt idx="0">
                  <c:v>-3334.4113285095546</c:v>
                </c:pt>
                <c:pt idx="1">
                  <c:v>-5029.3125361318998</c:v>
                </c:pt>
                <c:pt idx="2">
                  <c:v>-4077.6217474423142</c:v>
                </c:pt>
                <c:pt idx="3">
                  <c:v>-5511.1374863625324</c:v>
                </c:pt>
                <c:pt idx="4">
                  <c:v>-3405.4710835454221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6-A143-A333-CD1CC926D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7376"/>
        <c:axId val="75065105"/>
      </c:barChart>
      <c:catAx>
        <c:axId val="6773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5065105"/>
        <c:crosses val="autoZero"/>
        <c:auto val="1"/>
        <c:lblAlgn val="ctr"/>
        <c:lblOffset val="100"/>
        <c:noMultiLvlLbl val="0"/>
      </c:catAx>
      <c:valAx>
        <c:axId val="7506510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.0;\(#,##0.0\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7737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00000"/>
                </a:solidFill>
                <a:uFillTx/>
                <a:latin typeface="Calibri"/>
              </a:rPr>
              <a:t>NPV today vs if power were instant ($m) (base scenario)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 Timing'!$C$20</c:f>
              <c:strCache>
                <c:ptCount val="1"/>
                <c:pt idx="0">
                  <c:v>With grid queue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'Power Timing'!$B$21:$B$25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'Power Timing'!$C$21:$C$25</c:f>
              <c:numCache>
                <c:formatCode>#,##0.0;\(#,##0.0\)</c:formatCode>
                <c:ptCount val="5"/>
                <c:pt idx="0">
                  <c:v>1448.0113538157748</c:v>
                </c:pt>
                <c:pt idx="1">
                  <c:v>-281.96076514693641</c:v>
                </c:pt>
                <c:pt idx="2">
                  <c:v>12.417255788229795</c:v>
                </c:pt>
                <c:pt idx="3">
                  <c:v>-460.96697688295785</c:v>
                </c:pt>
                <c:pt idx="4">
                  <c:v>1428.751357007483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5-8741-A94E-CA40F2DF72F3}"/>
            </c:ext>
          </c:extLst>
        </c:ser>
        <c:ser>
          <c:idx val="1"/>
          <c:order val="1"/>
          <c:tx>
            <c:strRef>
              <c:f>'Power Timing'!$D$20</c:f>
              <c:strCache>
                <c:ptCount val="1"/>
                <c:pt idx="0">
                  <c:v>If power instant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'Power Timing'!$B$21:$B$25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'Power Timing'!$D$21:$D$25</c:f>
              <c:numCache>
                <c:formatCode>#,##0.0;\(#,##0.0\)</c:formatCode>
                <c:ptCount val="5"/>
                <c:pt idx="0">
                  <c:v>4782.4226823253293</c:v>
                </c:pt>
                <c:pt idx="1">
                  <c:v>4747.3517709849639</c:v>
                </c:pt>
                <c:pt idx="2">
                  <c:v>4090.039003230544</c:v>
                </c:pt>
                <c:pt idx="3">
                  <c:v>5050.1705094795743</c:v>
                </c:pt>
                <c:pt idx="4">
                  <c:v>4834.222440552905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B5-8741-A94E-CA40F2DF7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824831"/>
        <c:axId val="697820799"/>
      </c:barChart>
      <c:catAx>
        <c:axId val="69782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820799"/>
        <c:crosses val="autoZero"/>
        <c:auto val="1"/>
        <c:lblAlgn val="ctr"/>
        <c:lblOffset val="100"/>
        <c:noMultiLvlLbl val="0"/>
      </c:catAx>
      <c:valAx>
        <c:axId val="69782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824831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300" b="1" strike="noStrike">
                <a:solidFill>
                  <a:srgbClr val="000000"/>
                </a:solidFill>
                <a:uFillTx/>
                <a:latin typeface="Calibri"/>
              </a:rPr>
              <a:t>Contracted vs merchant NPV by country ($m)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Contracted</c:v>
          </c:tx>
          <c:spPr>
            <a:solidFill>
              <a:schemeClr val="accent2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'Deal Comparison'!$C$4:$G$4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'Deal Comparison'!$C$26:$G$26</c:f>
              <c:numCache>
                <c:formatCode>#,##0.0;\(#,##0.0\)</c:formatCode>
                <c:ptCount val="5"/>
                <c:pt idx="0">
                  <c:v>1448.0113538157748</c:v>
                </c:pt>
                <c:pt idx="1">
                  <c:v>-281.96076514693641</c:v>
                </c:pt>
                <c:pt idx="2">
                  <c:v>12.417255788229795</c:v>
                </c:pt>
                <c:pt idx="3">
                  <c:v>-460.96697688295785</c:v>
                </c:pt>
                <c:pt idx="4">
                  <c:v>1428.751357007483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F-7048-9A80-B062F38A68F3}"/>
            </c:ext>
          </c:extLst>
        </c:ser>
        <c:ser>
          <c:idx val="1"/>
          <c:order val="1"/>
          <c:tx>
            <c:v>Merchant</c:v>
          </c:tx>
          <c:spPr>
            <a:pattFill prst="pct25">
              <a:fgClr>
                <a:schemeClr val="accent1"/>
              </a:fgClr>
              <a:bgClr>
                <a:schemeClr val="bg1"/>
              </a:bgClr>
            </a:patt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'Deal Comparison'!$C$4:$G$4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'Deal Comparison'!$C$38:$G$38</c:f>
              <c:numCache>
                <c:formatCode>#,##0.0;\(#,##0.0\)</c:formatCode>
                <c:ptCount val="5"/>
                <c:pt idx="0">
                  <c:v>-712.10953184647474</c:v>
                </c:pt>
                <c:pt idx="1">
                  <c:v>-1063.6647904716606</c:v>
                </c:pt>
                <c:pt idx="2">
                  <c:v>-1132.4747405448011</c:v>
                </c:pt>
                <c:pt idx="3">
                  <c:v>-1133.741129202602</c:v>
                </c:pt>
                <c:pt idx="4">
                  <c:v>-725.56287639509299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DF-7048-9A80-B062F38A6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852381"/>
        <c:axId val="75338094"/>
      </c:barChart>
      <c:catAx>
        <c:axId val="328523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Country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1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5338094"/>
        <c:crosses val="autoZero"/>
        <c:auto val="1"/>
        <c:lblAlgn val="ctr"/>
        <c:lblOffset val="100"/>
        <c:noMultiLvlLbl val="0"/>
      </c:catAx>
      <c:valAx>
        <c:axId val="753380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NPV ($m)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;\(#,##0.0\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285238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300" b="1" strike="noStrike">
                <a:solidFill>
                  <a:srgbClr val="000000"/>
                </a:solidFill>
                <a:uFillTx/>
                <a:latin typeface="Calibri"/>
              </a:rPr>
              <a:t>Asset-life timeline — years from start of build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'Asset Life'!$C$4</c:f>
              <c:strCache>
                <c:ptCount val="1"/>
                <c:pt idx="0">
                  <c:v>Grid queue (yr)</c:v>
                </c:pt>
              </c:strCache>
            </c:strRef>
          </c:tx>
          <c:spPr>
            <a:solidFill>
              <a:srgbClr val="D9A441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'Asset Life'!$B$5:$B$9</c:f>
              <c:strCache>
                <c:ptCount val="5"/>
                <c:pt idx="0">
                  <c:v>Ireland</c:v>
                </c:pt>
                <c:pt idx="1">
                  <c:v>United States</c:v>
                </c:pt>
                <c:pt idx="2">
                  <c:v>India</c:v>
                </c:pt>
                <c:pt idx="3">
                  <c:v>Saudi Arabia</c:v>
                </c:pt>
                <c:pt idx="4">
                  <c:v>Norway</c:v>
                </c:pt>
              </c:strCache>
            </c:strRef>
          </c:cat>
          <c:val>
            <c:numRef>
              <c:f>'Asset Life'!$C$5:$C$9</c:f>
              <c:numCache>
                <c:formatCode>0.00</c:formatCode>
                <c:ptCount val="5"/>
                <c:pt idx="0">
                  <c:v>6</c:v>
                </c:pt>
                <c:pt idx="1">
                  <c:v>4.5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5-E440-8D58-86C29D21791C}"/>
            </c:ext>
          </c:extLst>
        </c:ser>
        <c:ser>
          <c:idx val="1"/>
          <c:order val="1"/>
          <c:tx>
            <c:strRef>
              <c:f>'Asset Life'!$D$4</c:f>
              <c:strCache>
                <c:ptCount val="1"/>
                <c:pt idx="0">
                  <c:v>Operating (yr)</c:v>
                </c:pt>
              </c:strCache>
            </c:strRef>
          </c:tx>
          <c:spPr>
            <a:solidFill>
              <a:srgbClr val="2FA98C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'Asset Life'!$B$5:$B$9</c:f>
              <c:strCache>
                <c:ptCount val="5"/>
                <c:pt idx="0">
                  <c:v>Ireland</c:v>
                </c:pt>
                <c:pt idx="1">
                  <c:v>United States</c:v>
                </c:pt>
                <c:pt idx="2">
                  <c:v>India</c:v>
                </c:pt>
                <c:pt idx="3">
                  <c:v>Saudi Arabia</c:v>
                </c:pt>
                <c:pt idx="4">
                  <c:v>Norway</c:v>
                </c:pt>
              </c:strCache>
            </c:strRef>
          </c:cat>
          <c:val>
            <c:numRef>
              <c:f>'Asset Life'!$D$5:$D$9</c:f>
              <c:numCache>
                <c:formatCode>0.00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35-E440-8D58-86C29D21791C}"/>
            </c:ext>
          </c:extLst>
        </c:ser>
        <c:ser>
          <c:idx val="2"/>
          <c:order val="2"/>
          <c:tx>
            <c:strRef>
              <c:f>'Asset Life'!$E$4</c:f>
              <c:strCache>
                <c:ptCount val="1"/>
                <c:pt idx="0">
                  <c:v>Shell residual (yr)</c:v>
                </c:pt>
              </c:strCache>
            </c:strRef>
          </c:tx>
          <c:spPr>
            <a:solidFill>
              <a:srgbClr val="E4E8EC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'Asset Life'!$B$5:$B$9</c:f>
              <c:strCache>
                <c:ptCount val="5"/>
                <c:pt idx="0">
                  <c:v>Ireland</c:v>
                </c:pt>
                <c:pt idx="1">
                  <c:v>United States</c:v>
                </c:pt>
                <c:pt idx="2">
                  <c:v>India</c:v>
                </c:pt>
                <c:pt idx="3">
                  <c:v>Saudi Arabia</c:v>
                </c:pt>
                <c:pt idx="4">
                  <c:v>Norway</c:v>
                </c:pt>
              </c:strCache>
            </c:strRef>
          </c:cat>
          <c:val>
            <c:numRef>
              <c:f>'Asset Life'!$E$5:$E$9</c:f>
              <c:numCache>
                <c:formatCode>0.00</c:formatCode>
                <c:ptCount val="5"/>
                <c:pt idx="0">
                  <c:v>14</c:v>
                </c:pt>
                <c:pt idx="1">
                  <c:v>15.5</c:v>
                </c:pt>
                <c:pt idx="2">
                  <c:v>17</c:v>
                </c:pt>
                <c:pt idx="3">
                  <c:v>18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35-E440-8D58-86C29D217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185613"/>
        <c:axId val="81804479"/>
      </c:barChart>
      <c:catAx>
        <c:axId val="4818561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1804479"/>
        <c:crosses val="autoZero"/>
        <c:auto val="1"/>
        <c:lblAlgn val="ctr"/>
        <c:lblOffset val="100"/>
        <c:noMultiLvlLbl val="0"/>
      </c:catAx>
      <c:valAx>
        <c:axId val="81804479"/>
        <c:scaling>
          <c:orientation val="minMax"/>
          <c:max val="13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Years from start of build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8185613"/>
        <c:crosses val="autoZero"/>
        <c:crossBetween val="between"/>
        <c:majorUnit val="4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300" b="1" strike="noStrike">
                <a:solidFill>
                  <a:srgbClr val="000000"/>
                </a:solidFill>
                <a:uFillTx/>
                <a:latin typeface="Calibri"/>
              </a:rPr>
              <a:t>WETI Energy Security Score (0-100)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Energy Security Score (WETI)</c:v>
          </c:tx>
          <c:spPr>
            <a:solidFill>
              <a:schemeClr val="tx2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'Energy Security'!$B$5:$B$9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'Energy Security'!$F$5:$F$9</c:f>
              <c:numCache>
                <c:formatCode>0</c:formatCode>
                <c:ptCount val="5"/>
                <c:pt idx="0">
                  <c:v>70.5</c:v>
                </c:pt>
                <c:pt idx="1">
                  <c:v>86.4</c:v>
                </c:pt>
                <c:pt idx="2">
                  <c:v>65.5</c:v>
                </c:pt>
                <c:pt idx="3">
                  <c:v>51.3</c:v>
                </c:pt>
                <c:pt idx="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4-8C41-B695-3EA14C443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838064"/>
        <c:axId val="94838882"/>
      </c:barChart>
      <c:catAx>
        <c:axId val="97838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4838882"/>
        <c:crosses val="autoZero"/>
        <c:auto val="1"/>
        <c:lblAlgn val="ctr"/>
        <c:lblOffset val="100"/>
        <c:noMultiLvlLbl val="0"/>
      </c:catAx>
      <c:valAx>
        <c:axId val="94838882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out"/>
        <c:minorTickMark val="none"/>
        <c:tickLblPos val="nextTo"/>
        <c:spPr>
          <a:solidFill>
            <a:srgbClr val="FFFFFF"/>
          </a:solidFill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7838064"/>
        <c:crosses val="autoZero"/>
        <c:crossBetween val="between"/>
        <c:majorUnit val="20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Three lens</a:t>
            </a:r>
            <a:r>
              <a:rPr lang="en-US" sz="1800" b="1" strike="noStrike" baseline="0">
                <a:solidFill>
                  <a:srgbClr val="000000"/>
                </a:solidFill>
                <a:uFillTx/>
                <a:latin typeface="Calibri"/>
              </a:rPr>
              <a:t> rankings</a:t>
            </a: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:</a:t>
            </a:r>
            <a:r>
              <a:rPr lang="en-US" sz="1800" b="1" strike="noStrike" baseline="0">
                <a:solidFill>
                  <a:srgbClr val="000000"/>
                </a:solidFill>
                <a:uFillTx/>
                <a:latin typeface="Calibri"/>
              </a:rPr>
              <a:t> </a:t>
            </a:r>
          </a:p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 baseline="0">
                <a:solidFill>
                  <a:srgbClr val="000000"/>
                </a:solidFill>
                <a:uFillTx/>
                <a:latin typeface="Calibri"/>
              </a:rPr>
              <a:t>Economics, Energy Security, Carbon</a:t>
            </a:r>
            <a:endParaRPr lang="en-US" sz="1800" b="1" strike="noStrike">
              <a:solidFill>
                <a:srgbClr val="000000"/>
              </a:solidFill>
              <a:uFillTx/>
              <a:latin typeface="Calibri"/>
            </a:endParaRP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'Three-Lens View'!$D$4</c:f>
              <c:strCache>
                <c:ptCount val="1"/>
                <c:pt idx="0">
                  <c:v>Economics</c:v>
                </c:pt>
              </c:strCache>
            </c:strRef>
          </c:tx>
          <c:spPr>
            <a:solidFill>
              <a:schemeClr val="tx2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'Three-Lens View'!$B$5:$B$9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'Three-Lens View'!$D$5:$D$9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B-A14B-B3A4-5180B118C2A7}"/>
            </c:ext>
          </c:extLst>
        </c:ser>
        <c:ser>
          <c:idx val="1"/>
          <c:order val="1"/>
          <c:tx>
            <c:strRef>
              <c:f>'Three-Lens View'!$F$4</c:f>
              <c:strCache>
                <c:ptCount val="1"/>
                <c:pt idx="0">
                  <c:v>Energy security</c:v>
                </c:pt>
              </c:strCache>
            </c:strRef>
          </c:tx>
          <c:spPr>
            <a:pattFill prst="pct60">
              <a:fgClr>
                <a:schemeClr val="accent3"/>
              </a:fgClr>
              <a:bgClr>
                <a:schemeClr val="bg1"/>
              </a:bgClr>
            </a:patt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'Three-Lens View'!$B$5:$B$9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'Three-Lens View'!$F$5:$F$9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AB-A14B-B3A4-5180B118C2A7}"/>
            </c:ext>
          </c:extLst>
        </c:ser>
        <c:ser>
          <c:idx val="2"/>
          <c:order val="2"/>
          <c:tx>
            <c:strRef>
              <c:f>'Three-Lens View'!$H$4</c:f>
              <c:strCache>
                <c:ptCount val="1"/>
                <c:pt idx="0">
                  <c:v>Carbon</c:v>
                </c:pt>
              </c:strCache>
            </c:strRef>
          </c:tx>
          <c:spPr>
            <a:pattFill prst="pct80">
              <a:fgClr>
                <a:schemeClr val="bg1">
                  <a:lumMod val="85000"/>
                </a:schemeClr>
              </a:fgClr>
              <a:bgClr>
                <a:schemeClr val="bg1"/>
              </a:bgClr>
            </a:pattFill>
            <a:ln w="9525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'Three-Lens View'!$B$5:$B$9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'Three-Lens View'!$H$5:$H$9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AB-A14B-B3A4-5180B118C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40505"/>
        <c:axId val="19129417"/>
      </c:barChart>
      <c:catAx>
        <c:axId val="421405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9129417"/>
        <c:crosses val="autoZero"/>
        <c:auto val="1"/>
        <c:lblAlgn val="ctr"/>
        <c:lblOffset val="100"/>
        <c:noMultiLvlLbl val="0"/>
      </c:catAx>
      <c:valAx>
        <c:axId val="19129417"/>
        <c:scaling>
          <c:orientation val="minMax"/>
          <c:max val="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Rank</a:t>
                </a:r>
                <a:r>
                  <a:rPr lang="en-US" sz="1000" b="1" strike="noStrike" baseline="0">
                    <a:solidFill>
                      <a:srgbClr val="000000"/>
                    </a:solidFill>
                    <a:uFillTx/>
                    <a:latin typeface="Calibri"/>
                  </a:rPr>
                  <a:t> 1-5 (1=worst, 5=best)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/>
                </a:endParaRP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2140505"/>
        <c:crosses val="autoZero"/>
        <c:crossBetween val="between"/>
        <c:majorUnit val="1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Two lens</a:t>
            </a:r>
            <a:r>
              <a:rPr lang="en-US" sz="1800" b="1" strike="noStrike" baseline="0">
                <a:solidFill>
                  <a:srgbClr val="000000"/>
                </a:solidFill>
                <a:uFillTx/>
                <a:latin typeface="Calibri"/>
              </a:rPr>
              <a:t> rankings</a:t>
            </a: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:</a:t>
            </a:r>
            <a:r>
              <a:rPr lang="en-US" sz="1800" b="1" strike="noStrike" baseline="0">
                <a:solidFill>
                  <a:srgbClr val="000000"/>
                </a:solidFill>
                <a:uFillTx/>
                <a:latin typeface="Calibri"/>
              </a:rPr>
              <a:t> </a:t>
            </a:r>
          </a:p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 baseline="0">
                <a:solidFill>
                  <a:srgbClr val="000000"/>
                </a:solidFill>
                <a:uFillTx/>
                <a:latin typeface="Calibri"/>
              </a:rPr>
              <a:t>Economics, Energy Security, Carbon</a:t>
            </a:r>
            <a:endParaRPr lang="en-US" sz="1800" b="1" strike="noStrike">
              <a:solidFill>
                <a:srgbClr val="000000"/>
              </a:solidFill>
              <a:uFillTx/>
              <a:latin typeface="Calibri"/>
            </a:endParaRP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'Three-Lens View'!$D$4</c:f>
              <c:strCache>
                <c:ptCount val="1"/>
                <c:pt idx="0">
                  <c:v>Economics</c:v>
                </c:pt>
              </c:strCache>
            </c:strRef>
          </c:tx>
          <c:spPr>
            <a:solidFill>
              <a:schemeClr val="tx2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'Three-Lens View'!$B$5:$B$9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'Three-Lens View'!$D$5:$D$9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2-C047-89DC-3B6A0395E462}"/>
            </c:ext>
          </c:extLst>
        </c:ser>
        <c:ser>
          <c:idx val="1"/>
          <c:order val="1"/>
          <c:tx>
            <c:strRef>
              <c:f>'Three-Lens View'!$F$4</c:f>
              <c:strCache>
                <c:ptCount val="1"/>
                <c:pt idx="0">
                  <c:v>Energy security</c:v>
                </c:pt>
              </c:strCache>
            </c:strRef>
          </c:tx>
          <c:spPr>
            <a:pattFill prst="pct60">
              <a:fgClr>
                <a:schemeClr val="accent3"/>
              </a:fgClr>
              <a:bgClr>
                <a:schemeClr val="bg1"/>
              </a:bgClr>
            </a:patt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'Three-Lens View'!$B$5:$B$9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'Three-Lens View'!$F$5:$F$9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2-C047-89DC-3B6A0395E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40505"/>
        <c:axId val="19129417"/>
      </c:barChart>
      <c:catAx>
        <c:axId val="421405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9129417"/>
        <c:crosses val="autoZero"/>
        <c:auto val="1"/>
        <c:lblAlgn val="ctr"/>
        <c:lblOffset val="100"/>
        <c:noMultiLvlLbl val="0"/>
      </c:catAx>
      <c:valAx>
        <c:axId val="19129417"/>
        <c:scaling>
          <c:orientation val="minMax"/>
          <c:max val="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Rank</a:t>
                </a:r>
                <a:r>
                  <a:rPr lang="en-US" sz="1000" b="1" strike="noStrike" baseline="0">
                    <a:solidFill>
                      <a:srgbClr val="000000"/>
                    </a:solidFill>
                    <a:uFillTx/>
                    <a:latin typeface="Calibri"/>
                  </a:rPr>
                  <a:t> 1-5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/>
                </a:endParaRP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2140505"/>
        <c:crosses val="autoZero"/>
        <c:crossBetween val="between"/>
        <c:majorUnit val="1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Cost of Power Materiality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064728237296094"/>
          <c:y val="3.0935805822430992E-2"/>
          <c:w val="0.88151488054841953"/>
          <c:h val="0.8407469245637784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'Power Cost'!$C$5</c:f>
              <c:strCache>
                <c:ptCount val="1"/>
                <c:pt idx="0">
                  <c:v>Bear</c:v>
                </c:pt>
              </c:strCache>
            </c:strRef>
          </c:tx>
          <c:spPr>
            <a:solidFill>
              <a:srgbClr val="C55A11"/>
            </a:solidFill>
            <a:ln>
              <a:solidFill>
                <a:srgbClr val="C55A11"/>
              </a:solidFill>
              <a:prstDash val="solid"/>
            </a:ln>
          </c:spPr>
          <c:invertIfNegative val="1"/>
          <c:dLbls>
            <c:delete val="1"/>
          </c:dLbls>
          <c:cat>
            <c:strRef>
              <c:f>'Power Cost'!$B$6:$B$10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'Power Cost'!$C$6:$C$10</c:f>
              <c:numCache>
                <c:formatCode>0.0%</c:formatCode>
                <c:ptCount val="5"/>
                <c:pt idx="0">
                  <c:v>9.019607843137252E-2</c:v>
                </c:pt>
                <c:pt idx="1">
                  <c:v>0.16568627450980392</c:v>
                </c:pt>
                <c:pt idx="2">
                  <c:v>0.1764705882352941</c:v>
                </c:pt>
                <c:pt idx="3">
                  <c:v>0.21176470588235294</c:v>
                </c:pt>
                <c:pt idx="4">
                  <c:v>9.240196078431373E-2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55A1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276-CF45-9F1C-3F1C5B067FEC}"/>
            </c:ext>
          </c:extLst>
        </c:ser>
        <c:ser>
          <c:idx val="1"/>
          <c:order val="1"/>
          <c:tx>
            <c:strRef>
              <c:f>'Power Cost'!$D$5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1F3B57"/>
            </a:solidFill>
            <a:ln>
              <a:solidFill>
                <a:srgbClr val="1F3B57"/>
              </a:solidFill>
              <a:prstDash val="solid"/>
            </a:ln>
          </c:spPr>
          <c:invertIfNegative val="1"/>
          <c:dLbls>
            <c:delete val="1"/>
          </c:dLbls>
          <c:cat>
            <c:strRef>
              <c:f>'Power Cost'!$B$6:$B$10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'Power Cost'!$D$6:$D$10</c:f>
              <c:numCache>
                <c:formatCode>0.0%</c:formatCode>
                <c:ptCount val="5"/>
                <c:pt idx="0">
                  <c:v>2.7320906432748527E-2</c:v>
                </c:pt>
                <c:pt idx="1">
                  <c:v>5.1999999999999998E-2</c:v>
                </c:pt>
                <c:pt idx="2">
                  <c:v>8.1380208333333287E-2</c:v>
                </c:pt>
                <c:pt idx="3">
                  <c:v>0.12</c:v>
                </c:pt>
                <c:pt idx="4">
                  <c:v>3.1798245614035076E-2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3B5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276-CF45-9F1C-3F1C5B067FEC}"/>
            </c:ext>
          </c:extLst>
        </c:ser>
        <c:ser>
          <c:idx val="2"/>
          <c:order val="2"/>
          <c:tx>
            <c:strRef>
              <c:f>'Power Cost'!$E$5</c:f>
              <c:strCache>
                <c:ptCount val="1"/>
                <c:pt idx="0">
                  <c:v>Bull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  <a:prstDash val="solid"/>
            </a:ln>
          </c:spPr>
          <c:invertIfNegative val="1"/>
          <c:dLbls>
            <c:delete val="1"/>
          </c:dLbls>
          <c:cat>
            <c:strRef>
              <c:f>'Power Cost'!$B$6:$B$10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'Power Cost'!$E$6:$E$10</c:f>
              <c:numCache>
                <c:formatCode>0.0%</c:formatCode>
                <c:ptCount val="5"/>
                <c:pt idx="0">
                  <c:v>8.0327865441678012E-3</c:v>
                </c:pt>
                <c:pt idx="1">
                  <c:v>1.8134438448275846E-2</c:v>
                </c:pt>
                <c:pt idx="2">
                  <c:v>2.7413019577298338E-2</c:v>
                </c:pt>
                <c:pt idx="3">
                  <c:v>5.7418720753897146E-2</c:v>
                </c:pt>
                <c:pt idx="4">
                  <c:v>1.0128296077428968E-2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276-CF45-9F1C-3F1C5B067FEC}"/>
            </c:ext>
          </c:extLst>
        </c:ser>
        <c:dLbls>
          <c:showLegendKey val="0"/>
          <c:showVal val="1"/>
          <c:showCatName val="1"/>
          <c:showSerName val="1"/>
          <c:showPercent val="1"/>
          <c:showBubbleSize val="1"/>
        </c:dLbls>
        <c:gapWidth val="72"/>
        <c:overlap val="80"/>
        <c:axId val="10"/>
        <c:axId val="100"/>
      </c:barChart>
      <c:lineChart>
        <c:grouping val="standard"/>
        <c:varyColors val="1"/>
        <c:ser>
          <c:idx val="3"/>
          <c:order val="3"/>
          <c:tx>
            <c:strRef>
              <c:f>'Power Cost'!$F$5</c:f>
              <c:strCache>
                <c:ptCount val="1"/>
                <c:pt idx="0">
                  <c:v>Material line (10%)</c:v>
                </c:pt>
              </c:strCache>
            </c:strRef>
          </c:tx>
          <c:spPr>
            <a:ln w="200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strRef>
              <c:f>'Power Cost'!$B$6:$B$10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'Power Cost'!$F$6:$F$10</c:f>
              <c:numCache>
                <c:formatCode>0.0%</c:formatCode>
                <c:ptCount val="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76-CF45-9F1C-3F1C5B067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0"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25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Power cost as % of revenue</a:t>
                </a:r>
              </a:p>
            </c:rich>
          </c:tx>
          <c:layout>
            <c:manualLayout>
              <c:xMode val="edge"/>
              <c:yMode val="edge"/>
              <c:x val="1.2972972420814112E-2"/>
              <c:y val="0.32832670380373374"/>
            </c:manualLayout>
          </c:layout>
          <c:overlay val="1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b="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1"/>
      <c:txPr>
        <a:bodyPr/>
        <a:lstStyle/>
        <a:p>
          <a:pPr>
            <a:defRPr b="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300" b="1" strike="noStrike">
                <a:solidFill>
                  <a:srgbClr val="000000"/>
                </a:solidFill>
                <a:uFillTx/>
                <a:latin typeface="Calibri"/>
              </a:rPr>
              <a:t>Norway power</a:t>
            </a:r>
            <a:r>
              <a:rPr lang="en-US" sz="1300" b="1" strike="noStrike" baseline="0">
                <a:solidFill>
                  <a:srgbClr val="000000"/>
                </a:solidFill>
                <a:uFillTx/>
                <a:latin typeface="Calibri"/>
              </a:rPr>
              <a:t> cost (base scenario, contracted)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'Revenue Mix'!$C$5</c:f>
              <c:strCache>
                <c:ptCount val="1"/>
                <c:pt idx="0">
                  <c:v>Power</c:v>
                </c:pt>
              </c:strCache>
            </c:strRef>
          </c:tx>
          <c:spPr>
            <a:solidFill>
              <a:srgbClr val="D65A4A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 Mix'!$B$6</c:f>
              <c:strCache>
                <c:ptCount val="1"/>
                <c:pt idx="0">
                  <c:v>Share of revenue (%)</c:v>
                </c:pt>
              </c:strCache>
            </c:strRef>
          </c:cat>
          <c:val>
            <c:numRef>
              <c:f>'Revenue Mix'!$C$6</c:f>
              <c:numCache>
                <c:formatCode>0.0%</c:formatCode>
                <c:ptCount val="1"/>
                <c:pt idx="0">
                  <c:v>1.7485380116959062E-2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B-924E-8E65-D944DDEE84A7}"/>
            </c:ext>
          </c:extLst>
        </c:ser>
        <c:ser>
          <c:idx val="1"/>
          <c:order val="1"/>
          <c:tx>
            <c:strRef>
              <c:f>'Revenue Mix'!$D$5</c:f>
              <c:strCache>
                <c:ptCount val="1"/>
                <c:pt idx="0">
                  <c:v>Other opex</c:v>
                </c:pt>
              </c:strCache>
            </c:strRef>
          </c:tx>
          <c:spPr>
            <a:solidFill>
              <a:srgbClr val="AEB6BD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 Mix'!$B$6</c:f>
              <c:strCache>
                <c:ptCount val="1"/>
                <c:pt idx="0">
                  <c:v>Share of revenue (%)</c:v>
                </c:pt>
              </c:strCache>
            </c:strRef>
          </c:cat>
          <c:val>
            <c:numRef>
              <c:f>'Revenue Mix'!$D$6</c:f>
              <c:numCache>
                <c:formatCode>0.0%</c:formatCode>
                <c:ptCount val="1"/>
                <c:pt idx="0">
                  <c:v>3.2798393694211933E-2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B-924E-8E65-D944DDEE84A7}"/>
            </c:ext>
          </c:extLst>
        </c:ser>
        <c:ser>
          <c:idx val="2"/>
          <c:order val="2"/>
          <c:tx>
            <c:strRef>
              <c:f>'Revenue Mix'!$E$5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2FA98C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 Mix'!$B$6</c:f>
              <c:strCache>
                <c:ptCount val="1"/>
                <c:pt idx="0">
                  <c:v>Share of revenue (%)</c:v>
                </c:pt>
              </c:strCache>
            </c:strRef>
          </c:cat>
          <c:val>
            <c:numRef>
              <c:f>'Revenue Mix'!$E$6</c:f>
              <c:numCache>
                <c:formatCode>0.0%</c:formatCode>
                <c:ptCount val="1"/>
                <c:pt idx="0">
                  <c:v>0.94971622618882889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BB-924E-8E65-D944DDEE8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119446"/>
        <c:axId val="82847046"/>
      </c:barChart>
      <c:catAx>
        <c:axId val="7111944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2847046"/>
        <c:crosses val="autoZero"/>
        <c:auto val="1"/>
        <c:lblAlgn val="ctr"/>
        <c:lblOffset val="100"/>
        <c:noMultiLvlLbl val="0"/>
      </c:catAx>
      <c:valAx>
        <c:axId val="8284704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Share of revenue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1119446"/>
        <c:crosses val="autoZero"/>
        <c:crossBetween val="between"/>
      </c:valAx>
    </c:plotArea>
    <c:legend>
      <c:legendPos val="r"/>
      <c:overlay val="0"/>
      <c:spPr>
        <a:solidFill>
          <a:srgbClr val="FFFFFF"/>
        </a:solidFill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</a:t>
            </a:r>
            <a:r>
              <a:rPr lang="en-US" baseline="0"/>
              <a:t> Cost (% of revenue at entry price)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Revenue at entry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Mix'!$C$16:$G$16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'Revenue Mix'!$C$22:$G$22</c:f>
              <c:numCache>
                <c:formatCode>0.0%</c:formatCode>
                <c:ptCount val="5"/>
                <c:pt idx="0">
                  <c:v>0.97267909356725146</c:v>
                </c:pt>
                <c:pt idx="1">
                  <c:v>0.94799999999999995</c:v>
                </c:pt>
                <c:pt idx="2">
                  <c:v>0.91861979166666674</c:v>
                </c:pt>
                <c:pt idx="3">
                  <c:v>0.88</c:v>
                </c:pt>
                <c:pt idx="4">
                  <c:v>0.9682017543859649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B-9B40-8E4B-23C72E0116C6}"/>
            </c:ext>
          </c:extLst>
        </c:ser>
        <c:ser>
          <c:idx val="1"/>
          <c:order val="1"/>
          <c:tx>
            <c:strRef>
              <c:f>'Revenue Mix'!$B$20</c:f>
              <c:strCache>
                <c:ptCount val="1"/>
                <c:pt idx="0">
                  <c:v>Power % of revenue at entry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Mix'!$C$16:$G$16</c:f>
              <c:strCache>
                <c:ptCount val="5"/>
                <c:pt idx="0">
                  <c:v>Norway</c:v>
                </c:pt>
                <c:pt idx="1">
                  <c:v>United States</c:v>
                </c:pt>
                <c:pt idx="2">
                  <c:v>India</c:v>
                </c:pt>
                <c:pt idx="3">
                  <c:v>Ireland</c:v>
                </c:pt>
                <c:pt idx="4">
                  <c:v>Saudi Arabia</c:v>
                </c:pt>
              </c:strCache>
            </c:strRef>
          </c:cat>
          <c:val>
            <c:numRef>
              <c:f>'Revenue Mix'!$C$20:$G$20</c:f>
              <c:numCache>
                <c:formatCode>0.0%</c:formatCode>
                <c:ptCount val="5"/>
                <c:pt idx="0">
                  <c:v>2.732090643274853E-2</c:v>
                </c:pt>
                <c:pt idx="1">
                  <c:v>5.1999999999999998E-2</c:v>
                </c:pt>
                <c:pt idx="2">
                  <c:v>8.1380208333333301E-2</c:v>
                </c:pt>
                <c:pt idx="3">
                  <c:v>0.12</c:v>
                </c:pt>
                <c:pt idx="4">
                  <c:v>3.1798245614035082E-2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B-9B40-8E4B-23C72E011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5590271"/>
        <c:axId val="805592511"/>
      </c:barChart>
      <c:catAx>
        <c:axId val="80559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92511"/>
        <c:crosses val="autoZero"/>
        <c:auto val="1"/>
        <c:lblAlgn val="ctr"/>
        <c:lblOffset val="100"/>
        <c:noMultiLvlLbl val="0"/>
      </c:catAx>
      <c:valAx>
        <c:axId val="805592511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90271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444499</xdr:colOff>
      <xdr:row>6</xdr:row>
      <xdr:rowOff>126998</xdr:rowOff>
    </xdr:from>
    <xdr:to>
      <xdr:col>16</xdr:col>
      <xdr:colOff>18830</xdr:colOff>
      <xdr:row>21</xdr:row>
      <xdr:rowOff>23646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429974</xdr:colOff>
      <xdr:row>36</xdr:row>
      <xdr:rowOff>376549</xdr:rowOff>
    </xdr:from>
    <xdr:to>
      <xdr:col>16</xdr:col>
      <xdr:colOff>3790</xdr:colOff>
      <xdr:row>47</xdr:row>
      <xdr:rowOff>3322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394138</xdr:colOff>
      <xdr:row>22</xdr:row>
      <xdr:rowOff>72988</xdr:rowOff>
    </xdr:from>
    <xdr:to>
      <xdr:col>15</xdr:col>
      <xdr:colOff>625366</xdr:colOff>
      <xdr:row>36</xdr:row>
      <xdr:rowOff>159406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333526</xdr:colOff>
      <xdr:row>63</xdr:row>
      <xdr:rowOff>8661</xdr:rowOff>
    </xdr:from>
    <xdr:to>
      <xdr:col>16</xdr:col>
      <xdr:colOff>274204</xdr:colOff>
      <xdr:row>82</xdr:row>
      <xdr:rowOff>18762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332976</xdr:colOff>
      <xdr:row>49</xdr:row>
      <xdr:rowOff>110661</xdr:rowOff>
    </xdr:from>
    <xdr:to>
      <xdr:col>16</xdr:col>
      <xdr:colOff>275648</xdr:colOff>
      <xdr:row>62</xdr:row>
      <xdr:rowOff>64943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177840</xdr:colOff>
      <xdr:row>76</xdr:row>
      <xdr:rowOff>38160</xdr:rowOff>
    </xdr:from>
    <xdr:to>
      <xdr:col>15</xdr:col>
      <xdr:colOff>376920</xdr:colOff>
      <xdr:row>93</xdr:row>
      <xdr:rowOff>32040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254000</xdr:colOff>
      <xdr:row>18</xdr:row>
      <xdr:rowOff>29882</xdr:rowOff>
    </xdr:from>
    <xdr:to>
      <xdr:col>13</xdr:col>
      <xdr:colOff>577640</xdr:colOff>
      <xdr:row>32</xdr:row>
      <xdr:rowOff>61201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6</xdr:col>
      <xdr:colOff>746266</xdr:colOff>
      <xdr:row>32</xdr:row>
      <xdr:rowOff>188640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14</xdr:col>
      <xdr:colOff>160560</xdr:colOff>
      <xdr:row>33</xdr:row>
      <xdr:rowOff>16560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504892</xdr:colOff>
      <xdr:row>5</xdr:row>
      <xdr:rowOff>15828</xdr:rowOff>
    </xdr:from>
    <xdr:to>
      <xdr:col>16</xdr:col>
      <xdr:colOff>371692</xdr:colOff>
      <xdr:row>36</xdr:row>
      <xdr:rowOff>95224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493178</xdr:colOff>
      <xdr:row>37</xdr:row>
      <xdr:rowOff>120416</xdr:rowOff>
    </xdr:from>
    <xdr:to>
      <xdr:col>16</xdr:col>
      <xdr:colOff>340178</xdr:colOff>
      <xdr:row>54</xdr:row>
      <xdr:rowOff>114296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1688352</xdr:colOff>
      <xdr:row>29</xdr:row>
      <xdr:rowOff>25398</xdr:rowOff>
    </xdr:from>
    <xdr:to>
      <xdr:col>7</xdr:col>
      <xdr:colOff>253998</xdr:colOff>
      <xdr:row>44</xdr:row>
      <xdr:rowOff>44824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8B0FB6-37AD-32CB-AA62-FD8DE9891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957650</xdr:colOff>
      <xdr:row>5</xdr:row>
      <xdr:rowOff>22491</xdr:rowOff>
    </xdr:from>
    <xdr:to>
      <xdr:col>10</xdr:col>
      <xdr:colOff>578518</xdr:colOff>
      <xdr:row>22</xdr:row>
      <xdr:rowOff>16731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16</xdr:col>
      <xdr:colOff>608400</xdr:colOff>
      <xdr:row>19</xdr:row>
      <xdr:rowOff>184320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1456267</xdr:colOff>
      <xdr:row>11</xdr:row>
      <xdr:rowOff>114300</xdr:rowOff>
    </xdr:from>
    <xdr:to>
      <xdr:col>7</xdr:col>
      <xdr:colOff>1780306</xdr:colOff>
      <xdr:row>22</xdr:row>
      <xdr:rowOff>41961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292100</xdr:colOff>
      <xdr:row>3</xdr:row>
      <xdr:rowOff>152400</xdr:rowOff>
    </xdr:from>
    <xdr:to>
      <xdr:col>18</xdr:col>
      <xdr:colOff>263760</xdr:colOff>
      <xdr:row>19</xdr:row>
      <xdr:rowOff>36080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279400</xdr:colOff>
      <xdr:row>20</xdr:row>
      <xdr:rowOff>50800</xdr:rowOff>
    </xdr:from>
    <xdr:to>
      <xdr:col>18</xdr:col>
      <xdr:colOff>251060</xdr:colOff>
      <xdr:row>33</xdr:row>
      <xdr:rowOff>632980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352777</xdr:colOff>
      <xdr:row>12</xdr:row>
      <xdr:rowOff>98777</xdr:rowOff>
    </xdr:from>
    <xdr:ext cx="7831667" cy="455789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292160</xdr:colOff>
      <xdr:row>3</xdr:row>
      <xdr:rowOff>1</xdr:rowOff>
    </xdr:from>
    <xdr:to>
      <xdr:col>14</xdr:col>
      <xdr:colOff>646738</xdr:colOff>
      <xdr:row>13</xdr:row>
      <xdr:rowOff>68761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679824</xdr:colOff>
      <xdr:row>28</xdr:row>
      <xdr:rowOff>25400</xdr:rowOff>
    </xdr:from>
    <xdr:to>
      <xdr:col>7</xdr:col>
      <xdr:colOff>321236</xdr:colOff>
      <xdr:row>42</xdr:row>
      <xdr:rowOff>49305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4E2B63-23CD-B51B-CA7B-6CB21D5BB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6" displayName="Table6" ref="A3:G51" totalsRowShown="0" headerRowDxfId="9" headerRowBorderDxfId="8" tableBorderDxfId="7">
  <autoFilter ref="A3:G51" xr:uid="{00000000-0009-0000-0100-000001000000}"/>
  <tableColumns count="7">
    <tableColumn id="1" xr3:uid="{00000000-0010-0000-0000-000001000000}" name="#" dataDxfId="6"/>
    <tableColumn id="2" xr3:uid="{00000000-0010-0000-0000-000002000000}" name="Input" dataDxfId="5"/>
    <tableColumn id="3" xr3:uid="{00000000-0010-0000-0000-000003000000}" name="Value / note" dataDxfId="4"/>
    <tableColumn id="4" xr3:uid="{00000000-0010-0000-0000-000004000000}" name="Named source" dataDxfId="3"/>
    <tableColumn id="5" xr3:uid="{00000000-0010-0000-0000-000005000000}" name="Vintage" dataDxfId="2"/>
    <tableColumn id="6" xr3:uid="{00000000-0010-0000-0000-000006000000}" name="Source confidence" dataDxfId="1"/>
    <tableColumn id="7" xr3:uid="{00000000-0010-0000-0000-000007000000}" name="Source link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zurePrice" displayName="AzurePrice" ref="A25:C145" totalsRowShown="0">
  <autoFilter ref="A25:C145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100-000001000000}" name="Region"/>
    <tableColumn id="2" xr3:uid="{00000000-0010-0000-0100-000002000000}" name="Tier"/>
    <tableColumn id="3" xr3:uid="{00000000-0010-0000-0100-000003000000}" name="$/GPU-hr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ueTable" displayName="QueueTable" ref="A6:F1303" totalsRowShown="0">
  <autoFilter ref="A6:F1303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200-000001000000}" name="q_id"/>
    <tableColumn id="2" xr3:uid="{00000000-0010-0000-0200-000002000000}" name="State"/>
    <tableColumn id="3" xr3:uid="{00000000-0010-0000-0200-000003000000}" name="Type"/>
    <tableColumn id="4" xr3:uid="{00000000-0010-0000-0200-000004000000}" name="Queue yr"/>
    <tableColumn id="5" xr3:uid="{00000000-0010-0000-0200-000005000000}" name="Online yr"/>
    <tableColumn id="6" xr3:uid="{00000000-0010-0000-0200-000006000000}" name="Duration (yr)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untryData" displayName="CountryData" ref="B49:O54" totalsRowShown="0">
  <autoFilter ref="B49:O54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300-000001000000}" name="Country"/>
    <tableColumn id="2" xr3:uid="{00000000-0010-0000-0300-000002000000}" name="Pow Bear"/>
    <tableColumn id="3" xr3:uid="{00000000-0010-0000-0300-000003000000}" name="Pow Base"/>
    <tableColumn id="4" xr3:uid="{00000000-0010-0000-0300-000004000000}" name="Pow Bull"/>
    <tableColumn id="5" xr3:uid="{00000000-0010-0000-0300-000005000000}" name="TTP Bear"/>
    <tableColumn id="6" xr3:uid="{00000000-0010-0000-0300-000006000000}" name="TTP Base"/>
    <tableColumn id="7" xr3:uid="{00000000-0010-0000-0300-000007000000}" name="TTP Bull"/>
    <tableColumn id="8" xr3:uid="{00000000-0010-0000-0300-000008000000}" name="WACC Bear"/>
    <tableColumn id="9" xr3:uid="{00000000-0010-0000-0300-000009000000}" name="WACC Base"/>
    <tableColumn id="10" xr3:uid="{00000000-0010-0000-0300-00000A000000}" name="WACC Bull"/>
    <tableColumn id="11" xr3:uid="{00000000-0010-0000-0300-00000B000000}" name="Tax"/>
    <tableColumn id="12" xr3:uid="{00000000-0010-0000-0300-00000C000000}" name="PUE"/>
    <tableColumn id="13" xr3:uid="{00000000-0010-0000-0300-00000D000000}" name="Interconn $m/MW"/>
    <tableColumn id="14" xr3:uid="{00000000-0010-0000-0300-00000E000000}" name="PropTax %capex/y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newsletter.semianalysis.com/p/the-great-gpu-shortage-rental-capacity" TargetMode="External"/><Relationship Id="rId13" Type="http://schemas.openxmlformats.org/officeDocument/2006/relationships/hyperlink" Target="https://ember-energy.org/data/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hashrateindex.com/blog/used-gpu-market-pricing-deprecation-secondary-ai/" TargetMode="External"/><Relationship Id="rId7" Type="http://schemas.openxmlformats.org/officeDocument/2006/relationships/hyperlink" Target="https://siliconanalysts.com/analysis/nvidia-b200-blackwell-cost-breakdown" TargetMode="External"/><Relationship Id="rId12" Type="http://schemas.openxmlformats.org/officeDocument/2006/relationships/hyperlink" Target="https://www.worldenergy.org/transition-toolkit/world-energy-trilemma-framework" TargetMode="External"/><Relationship Id="rId17" Type="http://schemas.openxmlformats.org/officeDocument/2006/relationships/hyperlink" Target="https://prices.azure.com/api/retail/prices" TargetMode="External"/><Relationship Id="rId2" Type="http://schemas.openxmlformats.org/officeDocument/2006/relationships/hyperlink" Target="https://www.silicondata.com/blog/b200-rental-price-march-2026-update" TargetMode="External"/><Relationship Id="rId16" Type="http://schemas.openxmlformats.org/officeDocument/2006/relationships/hyperlink" Target="https://www.epa.gov/environmental-economics/scghg" TargetMode="External"/><Relationship Id="rId1" Type="http://schemas.openxmlformats.org/officeDocument/2006/relationships/hyperlink" Target="https://taxsummaries.pwc.com/" TargetMode="External"/><Relationship Id="rId6" Type="http://schemas.openxmlformats.org/officeDocument/2006/relationships/hyperlink" Target="https://www.silicondata.com/blog/b200-rental-price-march-2026-update" TargetMode="External"/><Relationship Id="rId11" Type="http://schemas.openxmlformats.org/officeDocument/2006/relationships/hyperlink" Target="https://www.commerce.gov/news/press-releases/2025/11/statement-uae-and-saudi-chip-exports" TargetMode="External"/><Relationship Id="rId5" Type="http://schemas.openxmlformats.org/officeDocument/2006/relationships/hyperlink" Target="https://uptimeinstitute.com/" TargetMode="External"/><Relationship Id="rId15" Type="http://schemas.openxmlformats.org/officeDocument/2006/relationships/hyperlink" Target="https://www.irs.gov/publications/p946" TargetMode="External"/><Relationship Id="rId10" Type="http://schemas.openxmlformats.org/officeDocument/2006/relationships/hyperlink" Target="https://ember-energy.org/data/" TargetMode="External"/><Relationship Id="rId4" Type="http://schemas.openxmlformats.org/officeDocument/2006/relationships/hyperlink" Target="https://www.cbre.com/insights" TargetMode="External"/><Relationship Id="rId9" Type="http://schemas.openxmlformats.org/officeDocument/2006/relationships/hyperlink" Target="https://ec.europa.eu/eurostat/databrowser/view/nrg_pc_205" TargetMode="External"/><Relationship Id="rId14" Type="http://schemas.openxmlformats.org/officeDocument/2006/relationships/hyperlink" Target="https://www.iea.org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95959"/>
  </sheetPr>
  <dimension ref="A1:C48"/>
  <sheetViews>
    <sheetView showGridLines="0" zoomScale="150" zoomScaleNormal="150" workbookViewId="0">
      <pane ySplit="2" topLeftCell="A19" activePane="bottomLeft" state="frozen"/>
      <selection activeCell="R16" sqref="R16"/>
      <selection pane="bottomLeft" activeCell="B44" sqref="B44"/>
    </sheetView>
  </sheetViews>
  <sheetFormatPr baseColWidth="10" defaultColWidth="8.6640625" defaultRowHeight="15" x14ac:dyDescent="0.2"/>
  <cols>
    <col min="1" max="1" width="30" customWidth="1"/>
    <col min="2" max="2" width="70" customWidth="1"/>
  </cols>
  <sheetData>
    <row r="1" spans="1:3" ht="17.25" customHeight="1" x14ac:dyDescent="0.2">
      <c r="A1" s="1" t="s">
        <v>64</v>
      </c>
      <c r="C1" s="2" t="str">
        <f>IF(Checks!$C$4&gt;0,"MODEL IN ERROR","checks OK")</f>
        <v>checks OK</v>
      </c>
    </row>
    <row r="2" spans="1:3" ht="15" customHeight="1" x14ac:dyDescent="0.2">
      <c r="A2" s="3" t="s">
        <v>65</v>
      </c>
    </row>
    <row r="3" spans="1:3" ht="15" customHeight="1" x14ac:dyDescent="0.2">
      <c r="A3" s="4" t="s">
        <v>2503</v>
      </c>
    </row>
    <row r="4" spans="1:3" ht="15" customHeight="1" x14ac:dyDescent="0.2">
      <c r="A4" s="5" t="s">
        <v>66</v>
      </c>
    </row>
    <row r="5" spans="1:3" ht="15" customHeight="1" x14ac:dyDescent="0.2">
      <c r="A5" s="5" t="s">
        <v>67</v>
      </c>
    </row>
    <row r="6" spans="1:3" ht="174" customHeight="1" x14ac:dyDescent="0.2">
      <c r="A6" s="6" t="s">
        <v>68</v>
      </c>
    </row>
    <row r="7" spans="1:3" ht="15" customHeight="1" x14ac:dyDescent="0.2">
      <c r="A7" s="7" t="s">
        <v>69</v>
      </c>
    </row>
    <row r="8" spans="1:3" ht="15" customHeight="1" x14ac:dyDescent="0.2">
      <c r="A8" s="8" t="s">
        <v>70</v>
      </c>
      <c r="B8" s="5" t="s">
        <v>71</v>
      </c>
    </row>
    <row r="9" spans="1:3" ht="15" customHeight="1" x14ac:dyDescent="0.2">
      <c r="A9" s="4" t="s">
        <v>72</v>
      </c>
      <c r="B9" s="5" t="s">
        <v>73</v>
      </c>
    </row>
    <row r="10" spans="1:3" ht="15" customHeight="1" x14ac:dyDescent="0.2">
      <c r="A10" s="9" t="s">
        <v>74</v>
      </c>
      <c r="B10" s="5" t="s">
        <v>75</v>
      </c>
    </row>
    <row r="11" spans="1:3" ht="15" customHeight="1" x14ac:dyDescent="0.2">
      <c r="A11" s="4" t="s">
        <v>76</v>
      </c>
      <c r="B11" s="5" t="s">
        <v>77</v>
      </c>
    </row>
    <row r="12" spans="1:3" ht="15" customHeight="1" x14ac:dyDescent="0.2">
      <c r="A12" s="4" t="s">
        <v>78</v>
      </c>
      <c r="B12" s="5" t="s">
        <v>79</v>
      </c>
    </row>
    <row r="13" spans="1:3" ht="15" customHeight="1" x14ac:dyDescent="0.2">
      <c r="A13" s="4" t="s">
        <v>80</v>
      </c>
      <c r="B13" s="5" t="s">
        <v>81</v>
      </c>
    </row>
    <row r="14" spans="1:3" ht="15" customHeight="1" x14ac:dyDescent="0.2">
      <c r="A14" s="7" t="s">
        <v>82</v>
      </c>
    </row>
    <row r="15" spans="1:3" ht="15" customHeight="1" x14ac:dyDescent="0.2">
      <c r="A15" s="82" t="s">
        <v>83</v>
      </c>
      <c r="B15" s="132" t="s">
        <v>84</v>
      </c>
    </row>
    <row r="16" spans="1:3" ht="15" customHeight="1" x14ac:dyDescent="0.2">
      <c r="A16" s="82" t="s">
        <v>2504</v>
      </c>
      <c r="B16" s="132" t="s">
        <v>2505</v>
      </c>
    </row>
    <row r="17" spans="1:2" ht="15" customHeight="1" x14ac:dyDescent="0.2">
      <c r="A17" s="82" t="s">
        <v>85</v>
      </c>
      <c r="B17" s="132" t="s">
        <v>2516</v>
      </c>
    </row>
    <row r="18" spans="1:2" ht="15" customHeight="1" x14ac:dyDescent="0.2">
      <c r="A18" s="82" t="s">
        <v>86</v>
      </c>
      <c r="B18" s="132" t="s">
        <v>2517</v>
      </c>
    </row>
    <row r="19" spans="1:2" ht="15" customHeight="1" x14ac:dyDescent="0.2">
      <c r="A19" s="82" t="s">
        <v>87</v>
      </c>
      <c r="B19" s="132" t="s">
        <v>2518</v>
      </c>
    </row>
    <row r="20" spans="1:2" ht="15" customHeight="1" x14ac:dyDescent="0.2">
      <c r="A20" s="82" t="s">
        <v>88</v>
      </c>
      <c r="B20" s="132" t="s">
        <v>2519</v>
      </c>
    </row>
    <row r="21" spans="1:2" ht="15" customHeight="1" x14ac:dyDescent="0.2">
      <c r="A21" s="82" t="s">
        <v>89</v>
      </c>
      <c r="B21" s="132" t="s">
        <v>2520</v>
      </c>
    </row>
    <row r="22" spans="1:2" ht="15" customHeight="1" x14ac:dyDescent="0.2">
      <c r="A22" s="82" t="s">
        <v>90</v>
      </c>
      <c r="B22" s="132" t="s">
        <v>2521</v>
      </c>
    </row>
    <row r="23" spans="1:2" ht="15" customHeight="1" x14ac:dyDescent="0.2">
      <c r="A23" s="82" t="s">
        <v>91</v>
      </c>
      <c r="B23" s="132" t="s">
        <v>92</v>
      </c>
    </row>
    <row r="24" spans="1:2" ht="15" customHeight="1" x14ac:dyDescent="0.2">
      <c r="A24" s="82" t="s">
        <v>93</v>
      </c>
      <c r="B24" s="132" t="s">
        <v>94</v>
      </c>
    </row>
    <row r="25" spans="1:2" ht="15" customHeight="1" x14ac:dyDescent="0.2">
      <c r="A25" s="82" t="s">
        <v>95</v>
      </c>
      <c r="B25" s="132" t="s">
        <v>96</v>
      </c>
    </row>
    <row r="26" spans="1:2" ht="15" customHeight="1" x14ac:dyDescent="0.2">
      <c r="A26" s="82" t="s">
        <v>97</v>
      </c>
      <c r="B26" s="132" t="s">
        <v>98</v>
      </c>
    </row>
    <row r="27" spans="1:2" ht="15" customHeight="1" x14ac:dyDescent="0.2">
      <c r="A27" s="82" t="s">
        <v>0</v>
      </c>
      <c r="B27" s="132" t="s">
        <v>99</v>
      </c>
    </row>
    <row r="28" spans="1:2" ht="15" customHeight="1" x14ac:dyDescent="0.2">
      <c r="A28" s="82" t="s">
        <v>2506</v>
      </c>
      <c r="B28" s="132" t="s">
        <v>2522</v>
      </c>
    </row>
    <row r="29" spans="1:2" ht="15" customHeight="1" x14ac:dyDescent="0.2">
      <c r="A29" s="82" t="s">
        <v>2507</v>
      </c>
      <c r="B29" s="134" t="s">
        <v>2523</v>
      </c>
    </row>
    <row r="30" spans="1:2" ht="15" customHeight="1" x14ac:dyDescent="0.2">
      <c r="A30" s="82" t="s">
        <v>100</v>
      </c>
      <c r="B30" s="132" t="s">
        <v>2524</v>
      </c>
    </row>
    <row r="31" spans="1:2" ht="15" customHeight="1" x14ac:dyDescent="0.2">
      <c r="A31" s="82" t="s">
        <v>105</v>
      </c>
      <c r="B31" s="132" t="s">
        <v>106</v>
      </c>
    </row>
    <row r="32" spans="1:2" ht="15" customHeight="1" x14ac:dyDescent="0.2">
      <c r="A32" s="82" t="s">
        <v>2508</v>
      </c>
      <c r="B32" s="134" t="s">
        <v>2525</v>
      </c>
    </row>
    <row r="33" spans="1:2" ht="15" customHeight="1" x14ac:dyDescent="0.2">
      <c r="A33" s="82" t="s">
        <v>101</v>
      </c>
      <c r="B33" s="132" t="s">
        <v>102</v>
      </c>
    </row>
    <row r="34" spans="1:2" ht="15" customHeight="1" x14ac:dyDescent="0.2">
      <c r="A34" s="82" t="s">
        <v>2509</v>
      </c>
      <c r="B34" s="132" t="s">
        <v>2526</v>
      </c>
    </row>
    <row r="35" spans="1:2" x14ac:dyDescent="0.2">
      <c r="A35" s="82" t="s">
        <v>2510</v>
      </c>
      <c r="B35" s="132" t="s">
        <v>2527</v>
      </c>
    </row>
    <row r="36" spans="1:2" x14ac:dyDescent="0.2">
      <c r="A36" s="82" t="s">
        <v>2511</v>
      </c>
      <c r="B36" s="132" t="s">
        <v>2528</v>
      </c>
    </row>
    <row r="37" spans="1:2" x14ac:dyDescent="0.2">
      <c r="A37" s="82" t="s">
        <v>2512</v>
      </c>
      <c r="B37" s="133" t="s">
        <v>2529</v>
      </c>
    </row>
    <row r="38" spans="1:2" x14ac:dyDescent="0.2">
      <c r="A38" s="82" t="s">
        <v>2513</v>
      </c>
      <c r="B38" s="134" t="s">
        <v>2530</v>
      </c>
    </row>
    <row r="39" spans="1:2" x14ac:dyDescent="0.2">
      <c r="A39" s="82" t="s">
        <v>2514</v>
      </c>
      <c r="B39" s="133" t="s">
        <v>2531</v>
      </c>
    </row>
    <row r="40" spans="1:2" x14ac:dyDescent="0.2">
      <c r="A40" s="82" t="s">
        <v>2515</v>
      </c>
      <c r="B40" s="132" t="s">
        <v>2532</v>
      </c>
    </row>
    <row r="41" spans="1:2" x14ac:dyDescent="0.2">
      <c r="A41" s="82" t="s">
        <v>107</v>
      </c>
      <c r="B41" s="132" t="s">
        <v>108</v>
      </c>
    </row>
    <row r="42" spans="1:2" x14ac:dyDescent="0.2">
      <c r="A42" s="82" t="s">
        <v>109</v>
      </c>
      <c r="B42" s="132" t="s">
        <v>110</v>
      </c>
    </row>
    <row r="44" spans="1:2" x14ac:dyDescent="0.2">
      <c r="B44" s="5"/>
    </row>
    <row r="48" spans="1:2" x14ac:dyDescent="0.2">
      <c r="A48" t="s">
        <v>103</v>
      </c>
      <c r="B48" s="5" t="s">
        <v>104</v>
      </c>
    </row>
  </sheetData>
  <sheetProtection sheet="1"/>
  <hyperlinks>
    <hyperlink ref="A15" location="'Model map'!A1" display="Model map" xr:uid="{FE2BF580-5AC2-684C-BC8E-2F0B9AB3CEF5}"/>
    <hyperlink ref="A16" location="Limitations!A1" display="Limitations" xr:uid="{C19A7FED-DEA7-1B4F-AC5F-38944AD71828}"/>
    <hyperlink ref="A17" location="Sources!A1" display="Sources" xr:uid="{FAB63CE7-548D-2844-A9CE-F81F1FB2AA33}"/>
    <hyperlink ref="A18" location="'GPU Specs'!A1" display="GPU Specs" xr:uid="{C2461602-23CF-0C4D-B30C-3F15973C19FA}"/>
    <hyperlink ref="A19" location="'Compute Price Data'!A1" display="Compute Price Data" xr:uid="{95F9324D-3B93-F843-89A0-18167895E1D8}"/>
    <hyperlink ref="A20" location="'Interconnection Queue'!A1" display="Interconnection Queue" xr:uid="{A4CBB33B-EF89-B548-9C5D-9CCCCE4B47BF}"/>
    <hyperlink ref="A21" location="'Power Build-up'!A1" display="Power Build-up" xr:uid="{C4900DEC-8ABB-5E47-B64B-EE7A0DC3B80A}"/>
    <hyperlink ref="A22" location="'WACC Build-up'!A1" display="WACC Build-up" xr:uid="{CB88ECAB-3649-194A-B8D0-A6ABE2842BA7}"/>
    <hyperlink ref="A23" location="Assumptions!A1" display="Assumptions" xr:uid="{B4F5A241-004A-E843-BC33-8C2CE0F71BBB}"/>
    <hyperlink ref="A24" location="'Capex Stack'!A1" display="Capex Stack" xr:uid="{DAF12FBE-60EF-0A47-A2DF-C8642100E2EC}"/>
    <hyperlink ref="A25" location="'Unit Economics'!A1" display="Unit Economics" xr:uid="{7DA34EB7-ED31-4E4A-99FA-3A9AB0B94522}"/>
    <hyperlink ref="A26" location="'Buildout Schedule'!A1" display="Buildout Schedule" xr:uid="{AE3580F7-96DF-FA44-9B26-AB2DEF4B4702}"/>
    <hyperlink ref="A27" location="Calculations!A1" display="Calculations" xr:uid="{5BFA64C8-27C1-4949-BAB3-DF8531176012}"/>
    <hyperlink ref="A28" location="'Country Engine'!A1" display="Country Engine" xr:uid="{51810AF3-B2EB-0040-BDB4-29BCA70DF164}"/>
    <hyperlink ref="A29" location="'Price Floor'!A1" display="Price Floor" xr:uid="{35F684AB-616A-D449-BE53-B62A9332CC41}"/>
    <hyperlink ref="A30" location="Comparison!A1" display="Comparison" xr:uid="{D8359FED-E8B7-B34E-A0FF-1664D45B1578}"/>
    <hyperlink ref="A31" location="Sensitivity!A1" display="Sensitivity" xr:uid="{1DFB4483-128C-4B4E-994F-BD5387AA5AD2}"/>
    <hyperlink ref="A32" location="'Price Path'!A1" display="Price Path" xr:uid="{59494730-B5F4-3A4A-B3F9-95149E756870}"/>
    <hyperlink ref="A33" location="'Country detail'!A1" display="Country Detail" xr:uid="{FD8F84F1-748A-E44A-AFD0-A683A1EA316B}"/>
    <hyperlink ref="A34" location="'Power Timing'!A1" display="Power Timing" xr:uid="{A8768BDF-F394-8B46-AA25-3CD1DB8A1643}"/>
    <hyperlink ref="A35" location="'Deal Comparison'!A1" display="Deal Comparison" xr:uid="{426430DB-F789-4449-B258-DE2DE20D3F34}"/>
    <hyperlink ref="A36" location="'Asset Life'!A1" display="Asset Life" xr:uid="{E611ACC0-3E06-7F45-A6DD-DE50294BF488}"/>
    <hyperlink ref="A37" location="'Energy Security'!A1" display="Energy Security" xr:uid="{6143A47D-9195-7943-84A6-4E21E96A2423}"/>
    <hyperlink ref="A38" location="'Three-Lens View'!A1" display="Three Lens View" xr:uid="{4CD88B90-93A6-D843-A102-7B801C680B19}"/>
    <hyperlink ref="A39" location="'Power Cost'!A1" display="Power Cost" xr:uid="{4F62D3F9-E9DC-AA4F-981A-16B20CA515AF}"/>
    <hyperlink ref="A40" location="'Revenue Mix'!A1" display="Revenue Mix" xr:uid="{2A34A49A-30EB-1A47-9E8A-B2248B9E9504}"/>
    <hyperlink ref="A41" location="Checks!A1" display="Checks" xr:uid="{E6331FFA-0281-4644-8778-EE9455D28566}"/>
    <hyperlink ref="A42" location="Review!A1" display="Review" xr:uid="{1B5937A5-E033-8947-8F0F-21DA0B59376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95959"/>
  </sheetPr>
  <dimension ref="A1:E35"/>
  <sheetViews>
    <sheetView showGridLines="0" zoomScale="85" zoomScaleNormal="85" workbookViewId="0">
      <pane ySplit="3" topLeftCell="A9" activePane="bottomLeft" state="frozen"/>
      <selection activeCell="R16" sqref="R16"/>
      <selection pane="bottomLeft" activeCell="R16" sqref="R16"/>
    </sheetView>
  </sheetViews>
  <sheetFormatPr baseColWidth="10" defaultColWidth="8.6640625" defaultRowHeight="15" x14ac:dyDescent="0.2"/>
  <cols>
    <col min="1" max="1" width="4" customWidth="1"/>
    <col min="2" max="2" width="40" customWidth="1"/>
    <col min="3" max="3" width="22" customWidth="1"/>
    <col min="4" max="4" width="30" customWidth="1"/>
    <col min="5" max="5" width="46" customWidth="1"/>
  </cols>
  <sheetData>
    <row r="1" spans="1:5" ht="17.25" customHeight="1" x14ac:dyDescent="0.2">
      <c r="A1" s="1" t="s">
        <v>111</v>
      </c>
      <c r="C1" s="9" t="str">
        <f>IF(Checks!$C$4&gt;0,"MODEL IN ERROR","checks OK")</f>
        <v>checks OK</v>
      </c>
    </row>
    <row r="2" spans="1:5" ht="15" customHeight="1" x14ac:dyDescent="0.2">
      <c r="A2" s="5" t="s">
        <v>112</v>
      </c>
    </row>
    <row r="3" spans="1:5" ht="15" customHeight="1" x14ac:dyDescent="0.2">
      <c r="D3" s="4" t="s">
        <v>113</v>
      </c>
      <c r="E3" s="2" t="str">
        <f>IF(Checks!$C$4&gt;0,"MODEL IN ERROR","checks OK")</f>
        <v>checks OK</v>
      </c>
    </row>
    <row r="4" spans="1:5" ht="15" customHeight="1" x14ac:dyDescent="0.2">
      <c r="A4" s="7" t="s">
        <v>114</v>
      </c>
    </row>
    <row r="5" spans="1:5" ht="15" customHeight="1" x14ac:dyDescent="0.2">
      <c r="B5" s="11" t="s">
        <v>115</v>
      </c>
      <c r="C5" s="11" t="s">
        <v>116</v>
      </c>
      <c r="D5" s="11" t="s">
        <v>117</v>
      </c>
      <c r="E5" s="11" t="s">
        <v>118</v>
      </c>
    </row>
    <row r="6" spans="1:5" ht="15" customHeight="1" x14ac:dyDescent="0.2">
      <c r="B6" s="4" t="s">
        <v>119</v>
      </c>
      <c r="C6" s="8" t="s">
        <v>120</v>
      </c>
      <c r="D6" s="4" t="s">
        <v>121</v>
      </c>
      <c r="E6" s="4" t="s">
        <v>122</v>
      </c>
    </row>
    <row r="7" spans="1:5" ht="15" customHeight="1" x14ac:dyDescent="0.2">
      <c r="B7" s="4" t="s">
        <v>123</v>
      </c>
      <c r="C7" s="8" t="s">
        <v>124</v>
      </c>
      <c r="D7" s="4" t="s">
        <v>125</v>
      </c>
      <c r="E7" s="4" t="s">
        <v>126</v>
      </c>
    </row>
    <row r="8" spans="1:5" ht="15" customHeight="1" x14ac:dyDescent="0.2">
      <c r="B8" s="4" t="s">
        <v>127</v>
      </c>
      <c r="C8" s="8" t="s">
        <v>128</v>
      </c>
      <c r="D8" s="4" t="s">
        <v>129</v>
      </c>
      <c r="E8" s="4" t="s">
        <v>130</v>
      </c>
    </row>
    <row r="10" spans="1:5" ht="15" customHeight="1" x14ac:dyDescent="0.2">
      <c r="A10" s="7" t="s">
        <v>131</v>
      </c>
    </row>
    <row r="11" spans="1:5" ht="15" customHeight="1" x14ac:dyDescent="0.2">
      <c r="B11" s="4" t="s">
        <v>132</v>
      </c>
    </row>
    <row r="12" spans="1:5" ht="15" customHeight="1" x14ac:dyDescent="0.2">
      <c r="B12" s="4" t="s">
        <v>133</v>
      </c>
    </row>
    <row r="13" spans="1:5" ht="15" customHeight="1" x14ac:dyDescent="0.2">
      <c r="B13" s="4" t="s">
        <v>134</v>
      </c>
    </row>
    <row r="14" spans="1:5" ht="15" customHeight="1" x14ac:dyDescent="0.2">
      <c r="B14" s="4" t="s">
        <v>133</v>
      </c>
    </row>
    <row r="15" spans="1:5" ht="15" customHeight="1" x14ac:dyDescent="0.2">
      <c r="B15" s="4" t="s">
        <v>135</v>
      </c>
    </row>
    <row r="16" spans="1:5" ht="15" customHeight="1" x14ac:dyDescent="0.2">
      <c r="B16" s="9" t="s">
        <v>136</v>
      </c>
    </row>
    <row r="19" spans="1:2" ht="15" customHeight="1" x14ac:dyDescent="0.2">
      <c r="A19" s="7" t="s">
        <v>137</v>
      </c>
    </row>
    <row r="20" spans="1:2" ht="15" customHeight="1" x14ac:dyDescent="0.2">
      <c r="B20" s="4" t="s">
        <v>138</v>
      </c>
    </row>
    <row r="21" spans="1:2" ht="15" customHeight="1" x14ac:dyDescent="0.2">
      <c r="B21" s="4" t="s">
        <v>139</v>
      </c>
    </row>
    <row r="22" spans="1:2" ht="15" customHeight="1" x14ac:dyDescent="0.2">
      <c r="B22" s="4" t="s">
        <v>140</v>
      </c>
    </row>
    <row r="23" spans="1:2" ht="15" customHeight="1" x14ac:dyDescent="0.2">
      <c r="B23" s="4" t="s">
        <v>141</v>
      </c>
    </row>
    <row r="24" spans="1:2" ht="15" customHeight="1" x14ac:dyDescent="0.2">
      <c r="B24" s="4" t="s">
        <v>142</v>
      </c>
    </row>
    <row r="26" spans="1:2" ht="15" customHeight="1" x14ac:dyDescent="0.2">
      <c r="A26" s="7" t="s">
        <v>143</v>
      </c>
    </row>
    <row r="27" spans="1:2" ht="15" customHeight="1" x14ac:dyDescent="0.2">
      <c r="B27" s="4" t="s">
        <v>144</v>
      </c>
    </row>
    <row r="28" spans="1:2" ht="15" customHeight="1" x14ac:dyDescent="0.2">
      <c r="B28" s="4" t="s">
        <v>145</v>
      </c>
    </row>
    <row r="29" spans="1:2" ht="15" customHeight="1" x14ac:dyDescent="0.2">
      <c r="B29" s="4" t="s">
        <v>146</v>
      </c>
    </row>
    <row r="30" spans="1:2" ht="15" customHeight="1" x14ac:dyDescent="0.2">
      <c r="B30" s="4" t="s">
        <v>147</v>
      </c>
    </row>
    <row r="31" spans="1:2" ht="15" customHeight="1" x14ac:dyDescent="0.2">
      <c r="B31" s="4" t="s">
        <v>148</v>
      </c>
    </row>
    <row r="33" spans="1:2" ht="15" customHeight="1" x14ac:dyDescent="0.2">
      <c r="A33" s="12" t="s">
        <v>149</v>
      </c>
    </row>
    <row r="34" spans="1:2" ht="122" customHeight="1" x14ac:dyDescent="0.2">
      <c r="B34" s="13" t="s">
        <v>150</v>
      </c>
    </row>
    <row r="35" spans="1:2" ht="136" customHeight="1" x14ac:dyDescent="0.2">
      <c r="B35" s="13" t="s">
        <v>151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95959"/>
  </sheetPr>
  <dimension ref="A1:F32"/>
  <sheetViews>
    <sheetView showGridLines="0" zoomScale="85" zoomScaleNormal="85" workbookViewId="0">
      <pane ySplit="2" topLeftCell="A3" activePane="bottomLeft" state="frozen"/>
      <selection activeCell="R16" sqref="R16"/>
      <selection pane="bottomLeft" activeCell="C6" sqref="C6"/>
    </sheetView>
  </sheetViews>
  <sheetFormatPr baseColWidth="10" defaultColWidth="8.6640625" defaultRowHeight="34.5" customHeight="1" x14ac:dyDescent="0.2"/>
  <cols>
    <col min="1" max="1" width="4" customWidth="1"/>
    <col min="2" max="4" width="65.83203125" customWidth="1"/>
  </cols>
  <sheetData>
    <row r="1" spans="1:4" ht="15" customHeight="1" x14ac:dyDescent="0.2">
      <c r="A1" s="14" t="s">
        <v>152</v>
      </c>
      <c r="C1" s="9" t="str">
        <f>IF(Checks!$C$4&gt;0,"MODEL IN ERROR","checks OK")</f>
        <v>checks OK</v>
      </c>
    </row>
    <row r="2" spans="1:4" ht="15" customHeight="1" x14ac:dyDescent="0.2">
      <c r="A2" t="s">
        <v>153</v>
      </c>
    </row>
    <row r="3" spans="1:4" ht="15" customHeight="1" x14ac:dyDescent="0.2"/>
    <row r="4" spans="1:4" ht="15" customHeight="1" x14ac:dyDescent="0.2">
      <c r="A4" s="15" t="s">
        <v>4</v>
      </c>
      <c r="B4" s="15" t="s">
        <v>154</v>
      </c>
      <c r="C4" s="15" t="s">
        <v>155</v>
      </c>
      <c r="D4" s="15" t="s">
        <v>156</v>
      </c>
    </row>
    <row r="5" spans="1:4" ht="34.5" customHeight="1" x14ac:dyDescent="0.2">
      <c r="A5" s="16" t="s">
        <v>157</v>
      </c>
      <c r="B5" s="16" t="s">
        <v>158</v>
      </c>
      <c r="C5" s="17" t="s">
        <v>159</v>
      </c>
      <c r="D5" s="17" t="s">
        <v>160</v>
      </c>
    </row>
    <row r="6" spans="1:4" ht="34.5" customHeight="1" x14ac:dyDescent="0.2">
      <c r="A6" s="16" t="s">
        <v>161</v>
      </c>
      <c r="B6" s="16" t="s">
        <v>162</v>
      </c>
      <c r="C6" s="17" t="s">
        <v>2496</v>
      </c>
      <c r="D6" s="17" t="s">
        <v>163</v>
      </c>
    </row>
    <row r="7" spans="1:4" ht="34.5" customHeight="1" x14ac:dyDescent="0.2">
      <c r="A7" s="16" t="s">
        <v>164</v>
      </c>
      <c r="B7" s="16" t="s">
        <v>165</v>
      </c>
      <c r="C7" s="17" t="s">
        <v>166</v>
      </c>
      <c r="D7" s="17" t="s">
        <v>167</v>
      </c>
    </row>
    <row r="8" spans="1:4" ht="34.5" customHeight="1" x14ac:dyDescent="0.2">
      <c r="A8" s="16" t="s">
        <v>168</v>
      </c>
      <c r="B8" s="16" t="s">
        <v>169</v>
      </c>
      <c r="C8" s="17" t="s">
        <v>170</v>
      </c>
      <c r="D8" s="17" t="s">
        <v>171</v>
      </c>
    </row>
    <row r="9" spans="1:4" ht="34.5" customHeight="1" x14ac:dyDescent="0.2">
      <c r="A9" s="16" t="s">
        <v>172</v>
      </c>
      <c r="B9" s="16" t="s">
        <v>173</v>
      </c>
      <c r="C9" s="17" t="s">
        <v>174</v>
      </c>
      <c r="D9" s="17" t="s">
        <v>175</v>
      </c>
    </row>
    <row r="10" spans="1:4" ht="34.5" customHeight="1" x14ac:dyDescent="0.2">
      <c r="A10" s="16" t="s">
        <v>176</v>
      </c>
      <c r="B10" s="16" t="s">
        <v>177</v>
      </c>
      <c r="C10" s="17" t="s">
        <v>178</v>
      </c>
      <c r="D10" s="17" t="s">
        <v>179</v>
      </c>
    </row>
    <row r="11" spans="1:4" ht="34.5" customHeight="1" x14ac:dyDescent="0.2">
      <c r="A11" s="16" t="s">
        <v>180</v>
      </c>
      <c r="B11" s="16" t="s">
        <v>181</v>
      </c>
      <c r="C11" s="17" t="s">
        <v>182</v>
      </c>
      <c r="D11" s="17" t="s">
        <v>183</v>
      </c>
    </row>
    <row r="12" spans="1:4" ht="34.5" customHeight="1" x14ac:dyDescent="0.2">
      <c r="A12" s="16" t="s">
        <v>184</v>
      </c>
      <c r="B12" s="16" t="s">
        <v>185</v>
      </c>
      <c r="C12" s="17" t="s">
        <v>186</v>
      </c>
      <c r="D12" s="17" t="s">
        <v>187</v>
      </c>
    </row>
    <row r="13" spans="1:4" ht="34.5" customHeight="1" x14ac:dyDescent="0.2">
      <c r="A13" s="16" t="s">
        <v>188</v>
      </c>
      <c r="B13" s="16" t="s">
        <v>189</v>
      </c>
      <c r="C13" s="17" t="s">
        <v>190</v>
      </c>
      <c r="D13" s="17" t="s">
        <v>191</v>
      </c>
    </row>
    <row r="14" spans="1:4" ht="34.5" customHeight="1" x14ac:dyDescent="0.2">
      <c r="A14" s="16" t="s">
        <v>192</v>
      </c>
      <c r="B14" s="16" t="s">
        <v>193</v>
      </c>
      <c r="C14" s="17" t="s">
        <v>194</v>
      </c>
      <c r="D14" s="17" t="s">
        <v>195</v>
      </c>
    </row>
    <row r="15" spans="1:4" ht="34.5" customHeight="1" x14ac:dyDescent="0.2">
      <c r="A15" s="16" t="s">
        <v>196</v>
      </c>
      <c r="B15" s="16" t="s">
        <v>197</v>
      </c>
      <c r="C15" s="17" t="s">
        <v>198</v>
      </c>
      <c r="D15" s="17" t="s">
        <v>199</v>
      </c>
    </row>
    <row r="16" spans="1:4" ht="34.5" customHeight="1" x14ac:dyDescent="0.2">
      <c r="A16" s="16" t="s">
        <v>200</v>
      </c>
      <c r="B16" s="16" t="s">
        <v>201</v>
      </c>
      <c r="C16" s="17" t="s">
        <v>202</v>
      </c>
      <c r="D16" s="17" t="s">
        <v>203</v>
      </c>
    </row>
    <row r="17" spans="1:6" ht="34.5" customHeight="1" x14ac:dyDescent="0.2">
      <c r="A17" s="16" t="s">
        <v>204</v>
      </c>
      <c r="B17" s="16" t="s">
        <v>205</v>
      </c>
      <c r="C17" s="17" t="s">
        <v>206</v>
      </c>
      <c r="D17" s="17" t="s">
        <v>207</v>
      </c>
    </row>
    <row r="18" spans="1:6" ht="34.5" customHeight="1" x14ac:dyDescent="0.2">
      <c r="A18" s="16" t="s">
        <v>208</v>
      </c>
      <c r="B18" s="16" t="s">
        <v>209</v>
      </c>
      <c r="C18" s="17" t="s">
        <v>210</v>
      </c>
      <c r="D18" s="17" t="s">
        <v>211</v>
      </c>
    </row>
    <row r="19" spans="1:6" ht="34.5" customHeight="1" x14ac:dyDescent="0.2">
      <c r="A19" s="16" t="s">
        <v>212</v>
      </c>
      <c r="B19" s="16" t="s">
        <v>213</v>
      </c>
      <c r="C19" s="17" t="s">
        <v>214</v>
      </c>
      <c r="D19" s="17" t="s">
        <v>215</v>
      </c>
    </row>
    <row r="20" spans="1:6" ht="34.5" customHeight="1" x14ac:dyDescent="0.2">
      <c r="A20" s="16" t="s">
        <v>216</v>
      </c>
      <c r="B20" s="16" t="s">
        <v>217</v>
      </c>
      <c r="C20" s="17" t="s">
        <v>218</v>
      </c>
      <c r="D20" s="17" t="s">
        <v>219</v>
      </c>
    </row>
    <row r="21" spans="1:6" ht="34.5" customHeight="1" x14ac:dyDescent="0.2">
      <c r="A21" s="16" t="s">
        <v>220</v>
      </c>
      <c r="B21" s="16" t="s">
        <v>221</v>
      </c>
      <c r="C21" s="17" t="s">
        <v>222</v>
      </c>
      <c r="D21" s="17" t="s">
        <v>223</v>
      </c>
    </row>
    <row r="22" spans="1:6" ht="34.5" customHeight="1" x14ac:dyDescent="0.2">
      <c r="A22" s="16" t="s">
        <v>224</v>
      </c>
      <c r="B22" s="16" t="s">
        <v>225</v>
      </c>
      <c r="C22" s="17" t="s">
        <v>226</v>
      </c>
      <c r="D22" s="17" t="s">
        <v>227</v>
      </c>
    </row>
    <row r="23" spans="1:6" ht="34.5" customHeight="1" x14ac:dyDescent="0.2">
      <c r="A23" s="16" t="s">
        <v>228</v>
      </c>
      <c r="B23" s="16" t="s">
        <v>229</v>
      </c>
      <c r="C23" s="17" t="s">
        <v>230</v>
      </c>
      <c r="D23" s="17" t="s">
        <v>231</v>
      </c>
    </row>
    <row r="25" spans="1:6" ht="45" customHeight="1" x14ac:dyDescent="0.2">
      <c r="B25" s="13" t="s">
        <v>232</v>
      </c>
    </row>
    <row r="26" spans="1:6" ht="15" customHeight="1" x14ac:dyDescent="0.2">
      <c r="B26" s="15" t="s">
        <v>123</v>
      </c>
      <c r="C26" s="15" t="s">
        <v>233</v>
      </c>
      <c r="D26" s="15" t="s">
        <v>234</v>
      </c>
      <c r="E26" s="15" t="s">
        <v>235</v>
      </c>
      <c r="F26" s="15" t="s">
        <v>236</v>
      </c>
    </row>
    <row r="27" spans="1:6" ht="30" customHeight="1" x14ac:dyDescent="0.2">
      <c r="B27" s="16" t="s">
        <v>237</v>
      </c>
      <c r="C27" s="17" t="s">
        <v>238</v>
      </c>
      <c r="D27" s="17" t="s">
        <v>239</v>
      </c>
      <c r="E27" s="17" t="s">
        <v>240</v>
      </c>
      <c r="F27" s="17" t="s">
        <v>241</v>
      </c>
    </row>
    <row r="28" spans="1:6" ht="30" customHeight="1" x14ac:dyDescent="0.2">
      <c r="B28" s="16" t="s">
        <v>242</v>
      </c>
      <c r="C28" s="17" t="s">
        <v>243</v>
      </c>
      <c r="D28" s="17" t="s">
        <v>244</v>
      </c>
      <c r="E28" s="17" t="s">
        <v>245</v>
      </c>
      <c r="F28" s="17" t="s">
        <v>246</v>
      </c>
    </row>
    <row r="29" spans="1:6" ht="30" customHeight="1" x14ac:dyDescent="0.2">
      <c r="B29" s="16" t="s">
        <v>247</v>
      </c>
      <c r="C29" s="17" t="s">
        <v>248</v>
      </c>
      <c r="D29" s="17" t="s">
        <v>249</v>
      </c>
      <c r="E29" s="17" t="s">
        <v>250</v>
      </c>
      <c r="F29" s="17" t="s">
        <v>251</v>
      </c>
    </row>
    <row r="30" spans="1:6" ht="30" customHeight="1" x14ac:dyDescent="0.2">
      <c r="B30" s="16" t="s">
        <v>252</v>
      </c>
      <c r="C30" s="17" t="s">
        <v>253</v>
      </c>
      <c r="D30" s="17" t="s">
        <v>254</v>
      </c>
      <c r="E30" s="17" t="s">
        <v>255</v>
      </c>
      <c r="F30" s="17" t="s">
        <v>256</v>
      </c>
    </row>
    <row r="31" spans="1:6" ht="30" customHeight="1" x14ac:dyDescent="0.2">
      <c r="B31" s="16" t="s">
        <v>257</v>
      </c>
      <c r="C31" s="17" t="s">
        <v>258</v>
      </c>
      <c r="D31" s="17" t="s">
        <v>259</v>
      </c>
      <c r="E31" s="17" t="s">
        <v>260</v>
      </c>
      <c r="F31" s="17" t="s">
        <v>261</v>
      </c>
    </row>
    <row r="32" spans="1:6" ht="45" customHeight="1" x14ac:dyDescent="0.2">
      <c r="B32" s="13" t="s">
        <v>262</v>
      </c>
    </row>
  </sheetData>
  <sheetProtection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</sheetPr>
  <dimension ref="A1:F1"/>
  <sheetViews>
    <sheetView showGridLines="0" zoomScale="85" zoomScaleNormal="85" workbookViewId="0">
      <selection activeCell="R16" sqref="R16"/>
    </sheetView>
  </sheetViews>
  <sheetFormatPr baseColWidth="10" defaultColWidth="8.6640625" defaultRowHeight="15" x14ac:dyDescent="0.2"/>
  <cols>
    <col min="1" max="1" width="4" customWidth="1"/>
  </cols>
  <sheetData>
    <row r="1" spans="1:6" ht="15.75" customHeight="1" x14ac:dyDescent="0.2">
      <c r="A1" s="18" t="s">
        <v>263</v>
      </c>
      <c r="B1" s="19"/>
      <c r="C1" s="19"/>
      <c r="D1" s="19"/>
      <c r="E1" s="19"/>
      <c r="F1" s="19"/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G62"/>
  <sheetViews>
    <sheetView showGridLines="0" zoomScale="85" zoomScaleNormal="85" workbookViewId="0">
      <pane ySplit="3" topLeftCell="A4" activePane="bottomLeft" state="frozen"/>
      <selection activeCell="R16" sqref="R16"/>
      <selection pane="bottomLeft" activeCell="A2" sqref="A2"/>
    </sheetView>
  </sheetViews>
  <sheetFormatPr baseColWidth="10" defaultColWidth="8.6640625" defaultRowHeight="15" x14ac:dyDescent="0.2"/>
  <cols>
    <col min="1" max="1" width="3.1640625" customWidth="1"/>
    <col min="2" max="2" width="30" customWidth="1"/>
    <col min="3" max="3" width="50.33203125" customWidth="1"/>
    <col min="4" max="4" width="43" customWidth="1"/>
    <col min="5" max="5" width="10" customWidth="1"/>
    <col min="6" max="6" width="19" customWidth="1"/>
    <col min="7" max="7" width="107.5" customWidth="1"/>
  </cols>
  <sheetData>
    <row r="1" spans="1:7" ht="17.25" customHeight="1" x14ac:dyDescent="0.2">
      <c r="A1" s="1" t="s">
        <v>85</v>
      </c>
      <c r="D1" s="2" t="str">
        <f>IF(Checks!$C$4&gt;0,"MODEL IN ERROR","checks OK")</f>
        <v>checks OK</v>
      </c>
    </row>
    <row r="2" spans="1:7" ht="27.75" customHeight="1" x14ac:dyDescent="0.2">
      <c r="A2" s="23" t="s">
        <v>264</v>
      </c>
    </row>
    <row r="3" spans="1:7" ht="15" customHeight="1" x14ac:dyDescent="0.2">
      <c r="A3" s="97" t="s">
        <v>4</v>
      </c>
      <c r="B3" s="97" t="s">
        <v>265</v>
      </c>
      <c r="C3" s="97" t="s">
        <v>266</v>
      </c>
      <c r="D3" s="97" t="s">
        <v>267</v>
      </c>
      <c r="E3" s="97" t="s">
        <v>268</v>
      </c>
      <c r="F3" s="97" t="s">
        <v>269</v>
      </c>
      <c r="G3" s="97" t="s">
        <v>270</v>
      </c>
    </row>
    <row r="4" spans="1:7" ht="30" customHeight="1" x14ac:dyDescent="0.2">
      <c r="A4" s="100">
        <v>1</v>
      </c>
      <c r="B4" s="102" t="s">
        <v>271</v>
      </c>
      <c r="C4" s="103" t="s">
        <v>272</v>
      </c>
      <c r="D4" s="103" t="s">
        <v>273</v>
      </c>
      <c r="E4" s="98" t="s">
        <v>274</v>
      </c>
      <c r="F4" s="98" t="s">
        <v>275</v>
      </c>
      <c r="G4" s="10" t="s">
        <v>276</v>
      </c>
    </row>
    <row r="5" spans="1:7" ht="30" customHeight="1" x14ac:dyDescent="0.2">
      <c r="A5" s="101">
        <v>2</v>
      </c>
      <c r="B5" s="104" t="s">
        <v>277</v>
      </c>
      <c r="C5" s="103" t="s">
        <v>278</v>
      </c>
      <c r="D5" s="103" t="s">
        <v>279</v>
      </c>
      <c r="E5" s="98" t="s">
        <v>274</v>
      </c>
      <c r="F5" s="98" t="s">
        <v>275</v>
      </c>
      <c r="G5" s="10" t="s">
        <v>280</v>
      </c>
    </row>
    <row r="6" spans="1:7" ht="30" customHeight="1" x14ac:dyDescent="0.2">
      <c r="A6" s="101">
        <v>3</v>
      </c>
      <c r="B6" s="104" t="s">
        <v>281</v>
      </c>
      <c r="C6" s="103" t="s">
        <v>282</v>
      </c>
      <c r="D6" s="103" t="s">
        <v>283</v>
      </c>
      <c r="E6" s="98" t="s">
        <v>284</v>
      </c>
      <c r="F6" s="98" t="s">
        <v>275</v>
      </c>
      <c r="G6" s="10" t="s">
        <v>285</v>
      </c>
    </row>
    <row r="7" spans="1:7" ht="30" customHeight="1" x14ac:dyDescent="0.2">
      <c r="A7" s="101">
        <v>4</v>
      </c>
      <c r="B7" s="104" t="s">
        <v>286</v>
      </c>
      <c r="C7" s="103" t="s">
        <v>287</v>
      </c>
      <c r="D7" s="103" t="s">
        <v>288</v>
      </c>
      <c r="E7" s="98" t="s">
        <v>289</v>
      </c>
      <c r="F7" s="98" t="s">
        <v>275</v>
      </c>
      <c r="G7" s="10" t="s">
        <v>290</v>
      </c>
    </row>
    <row r="8" spans="1:7" ht="30" customHeight="1" x14ac:dyDescent="0.2">
      <c r="A8" s="101">
        <v>5</v>
      </c>
      <c r="B8" s="104" t="s">
        <v>291</v>
      </c>
      <c r="C8" s="103" t="s">
        <v>292</v>
      </c>
      <c r="D8" s="103" t="s">
        <v>293</v>
      </c>
      <c r="E8" s="98" t="s">
        <v>274</v>
      </c>
      <c r="F8" s="98" t="s">
        <v>294</v>
      </c>
      <c r="G8" s="10" t="s">
        <v>295</v>
      </c>
    </row>
    <row r="9" spans="1:7" ht="30" customHeight="1" x14ac:dyDescent="0.2">
      <c r="A9" s="101">
        <v>6</v>
      </c>
      <c r="B9" s="104" t="s">
        <v>296</v>
      </c>
      <c r="C9" s="103" t="s">
        <v>297</v>
      </c>
      <c r="D9" s="103" t="s">
        <v>298</v>
      </c>
      <c r="E9" s="98" t="s">
        <v>274</v>
      </c>
      <c r="F9" s="98" t="s">
        <v>299</v>
      </c>
      <c r="G9" s="10" t="s">
        <v>300</v>
      </c>
    </row>
    <row r="10" spans="1:7" ht="30" customHeight="1" x14ac:dyDescent="0.2">
      <c r="A10" s="101">
        <v>7</v>
      </c>
      <c r="B10" s="104" t="s">
        <v>301</v>
      </c>
      <c r="C10" s="103" t="s">
        <v>302</v>
      </c>
      <c r="D10" s="103" t="s">
        <v>303</v>
      </c>
      <c r="E10" s="98" t="s">
        <v>284</v>
      </c>
      <c r="F10" s="98" t="s">
        <v>275</v>
      </c>
      <c r="G10" s="10" t="s">
        <v>304</v>
      </c>
    </row>
    <row r="11" spans="1:7" ht="30" customHeight="1" x14ac:dyDescent="0.2">
      <c r="A11" s="101">
        <v>8</v>
      </c>
      <c r="B11" s="104" t="s">
        <v>305</v>
      </c>
      <c r="C11" s="103" t="s">
        <v>306</v>
      </c>
      <c r="D11" s="103" t="s">
        <v>307</v>
      </c>
      <c r="E11" s="98" t="s">
        <v>284</v>
      </c>
      <c r="F11" s="98" t="s">
        <v>275</v>
      </c>
      <c r="G11" s="10" t="s">
        <v>308</v>
      </c>
    </row>
    <row r="12" spans="1:7" ht="30" customHeight="1" x14ac:dyDescent="0.2">
      <c r="A12" s="101">
        <v>9</v>
      </c>
      <c r="B12" s="104" t="s">
        <v>309</v>
      </c>
      <c r="C12" s="103" t="s">
        <v>310</v>
      </c>
      <c r="D12" s="103" t="s">
        <v>311</v>
      </c>
      <c r="E12" s="98" t="s">
        <v>284</v>
      </c>
      <c r="F12" s="98" t="s">
        <v>294</v>
      </c>
      <c r="G12" s="10" t="s">
        <v>312</v>
      </c>
    </row>
    <row r="13" spans="1:7" ht="30" customHeight="1" x14ac:dyDescent="0.2">
      <c r="A13" s="101">
        <v>10</v>
      </c>
      <c r="B13" s="104" t="s">
        <v>313</v>
      </c>
      <c r="C13" s="103" t="s">
        <v>314</v>
      </c>
      <c r="D13" s="103" t="s">
        <v>315</v>
      </c>
      <c r="E13" s="98" t="s">
        <v>284</v>
      </c>
      <c r="F13" s="98" t="s">
        <v>275</v>
      </c>
      <c r="G13" s="10" t="s">
        <v>316</v>
      </c>
    </row>
    <row r="14" spans="1:7" ht="30" customHeight="1" x14ac:dyDescent="0.2">
      <c r="A14" s="101">
        <v>11</v>
      </c>
      <c r="B14" s="104" t="s">
        <v>317</v>
      </c>
      <c r="C14" s="103" t="s">
        <v>318</v>
      </c>
      <c r="D14" s="103" t="s">
        <v>319</v>
      </c>
      <c r="E14" s="98" t="s">
        <v>284</v>
      </c>
      <c r="F14" s="98" t="s">
        <v>275</v>
      </c>
      <c r="G14" s="10" t="s">
        <v>320</v>
      </c>
    </row>
    <row r="15" spans="1:7" ht="30" customHeight="1" x14ac:dyDescent="0.2">
      <c r="A15" s="101">
        <v>12</v>
      </c>
      <c r="B15" s="104" t="s">
        <v>321</v>
      </c>
      <c r="C15" s="103" t="s">
        <v>322</v>
      </c>
      <c r="D15" s="103" t="s">
        <v>323</v>
      </c>
      <c r="E15" s="98" t="s">
        <v>284</v>
      </c>
      <c r="F15" s="98" t="s">
        <v>275</v>
      </c>
      <c r="G15" s="10" t="s">
        <v>324</v>
      </c>
    </row>
    <row r="16" spans="1:7" ht="30" customHeight="1" x14ac:dyDescent="0.2">
      <c r="A16" s="101">
        <v>13</v>
      </c>
      <c r="B16" s="104" t="s">
        <v>325</v>
      </c>
      <c r="C16" s="103" t="s">
        <v>326</v>
      </c>
      <c r="D16" s="103" t="s">
        <v>327</v>
      </c>
      <c r="E16" s="98" t="s">
        <v>284</v>
      </c>
      <c r="F16" s="98" t="s">
        <v>275</v>
      </c>
      <c r="G16" s="10" t="s">
        <v>328</v>
      </c>
    </row>
    <row r="17" spans="1:7" ht="30" customHeight="1" x14ac:dyDescent="0.2">
      <c r="A17" s="101">
        <v>14</v>
      </c>
      <c r="B17" s="104" t="s">
        <v>329</v>
      </c>
      <c r="C17" s="103" t="s">
        <v>330</v>
      </c>
      <c r="D17" s="103" t="s">
        <v>331</v>
      </c>
      <c r="E17" s="98" t="s">
        <v>274</v>
      </c>
      <c r="F17" s="98" t="s">
        <v>299</v>
      </c>
      <c r="G17" s="10" t="s">
        <v>332</v>
      </c>
    </row>
    <row r="18" spans="1:7" ht="30" customHeight="1" x14ac:dyDescent="0.2">
      <c r="A18" s="101">
        <v>15</v>
      </c>
      <c r="B18" s="104" t="s">
        <v>333</v>
      </c>
      <c r="C18" s="103" t="s">
        <v>334</v>
      </c>
      <c r="D18" s="103" t="s">
        <v>335</v>
      </c>
      <c r="E18" s="98" t="s">
        <v>289</v>
      </c>
      <c r="F18" s="98" t="s">
        <v>275</v>
      </c>
      <c r="G18" s="10" t="s">
        <v>336</v>
      </c>
    </row>
    <row r="19" spans="1:7" ht="30" customHeight="1" x14ac:dyDescent="0.2">
      <c r="A19" s="101">
        <v>16</v>
      </c>
      <c r="B19" s="104" t="s">
        <v>337</v>
      </c>
      <c r="C19" s="103" t="s">
        <v>338</v>
      </c>
      <c r="D19" s="103" t="s">
        <v>339</v>
      </c>
      <c r="E19" s="98" t="s">
        <v>274</v>
      </c>
      <c r="F19" s="98" t="s">
        <v>275</v>
      </c>
      <c r="G19" s="10" t="s">
        <v>340</v>
      </c>
    </row>
    <row r="20" spans="1:7" ht="30" customHeight="1" x14ac:dyDescent="0.2">
      <c r="A20" s="101">
        <v>17</v>
      </c>
      <c r="B20" s="104" t="s">
        <v>341</v>
      </c>
      <c r="C20" s="103" t="s">
        <v>342</v>
      </c>
      <c r="D20" s="103" t="s">
        <v>283</v>
      </c>
      <c r="E20" s="98" t="s">
        <v>284</v>
      </c>
      <c r="F20" s="98" t="s">
        <v>294</v>
      </c>
      <c r="G20" s="10" t="s">
        <v>285</v>
      </c>
    </row>
    <row r="21" spans="1:7" ht="30" customHeight="1" x14ac:dyDescent="0.2">
      <c r="A21" s="101">
        <v>18</v>
      </c>
      <c r="B21" s="104" t="s">
        <v>343</v>
      </c>
      <c r="C21" s="103" t="s">
        <v>344</v>
      </c>
      <c r="D21" s="103" t="s">
        <v>345</v>
      </c>
      <c r="E21" s="98" t="s">
        <v>274</v>
      </c>
      <c r="F21" s="98" t="s">
        <v>294</v>
      </c>
      <c r="G21" s="10" t="s">
        <v>346</v>
      </c>
    </row>
    <row r="22" spans="1:7" ht="30" customHeight="1" x14ac:dyDescent="0.2">
      <c r="A22" s="101">
        <v>19</v>
      </c>
      <c r="B22" s="104" t="s">
        <v>347</v>
      </c>
      <c r="C22" s="103" t="s">
        <v>348</v>
      </c>
      <c r="D22" s="103" t="s">
        <v>349</v>
      </c>
      <c r="E22" s="98" t="s">
        <v>274</v>
      </c>
      <c r="F22" s="98" t="s">
        <v>275</v>
      </c>
      <c r="G22" s="10" t="s">
        <v>346</v>
      </c>
    </row>
    <row r="23" spans="1:7" ht="30" customHeight="1" x14ac:dyDescent="0.2">
      <c r="A23" s="101">
        <v>20</v>
      </c>
      <c r="B23" s="104" t="s">
        <v>350</v>
      </c>
      <c r="C23" s="103" t="s">
        <v>351</v>
      </c>
      <c r="D23" s="103" t="s">
        <v>352</v>
      </c>
      <c r="E23" s="98" t="s">
        <v>274</v>
      </c>
      <c r="F23" s="98" t="s">
        <v>294</v>
      </c>
      <c r="G23" s="10" t="s">
        <v>353</v>
      </c>
    </row>
    <row r="24" spans="1:7" ht="30" customHeight="1" x14ac:dyDescent="0.2">
      <c r="A24" s="101">
        <v>21</v>
      </c>
      <c r="B24" s="104" t="s">
        <v>354</v>
      </c>
      <c r="C24" s="103" t="s">
        <v>355</v>
      </c>
      <c r="D24" s="103" t="s">
        <v>356</v>
      </c>
      <c r="E24" s="98" t="s">
        <v>274</v>
      </c>
      <c r="F24" s="98" t="s">
        <v>294</v>
      </c>
      <c r="G24" s="10" t="s">
        <v>357</v>
      </c>
    </row>
    <row r="25" spans="1:7" ht="30" customHeight="1" x14ac:dyDescent="0.2">
      <c r="A25" s="101">
        <v>22</v>
      </c>
      <c r="B25" s="104" t="s">
        <v>358</v>
      </c>
      <c r="C25" s="103" t="s">
        <v>359</v>
      </c>
      <c r="D25" s="103" t="s">
        <v>360</v>
      </c>
      <c r="E25" s="98" t="s">
        <v>361</v>
      </c>
      <c r="F25" s="98" t="s">
        <v>294</v>
      </c>
      <c r="G25" s="10" t="s">
        <v>362</v>
      </c>
    </row>
    <row r="26" spans="1:7" ht="30" customHeight="1" x14ac:dyDescent="0.2">
      <c r="A26" s="101">
        <v>23</v>
      </c>
      <c r="B26" s="104" t="s">
        <v>363</v>
      </c>
      <c r="C26" s="103" t="s">
        <v>364</v>
      </c>
      <c r="D26" s="103" t="s">
        <v>365</v>
      </c>
      <c r="E26" s="98" t="s">
        <v>284</v>
      </c>
      <c r="F26" s="98" t="s">
        <v>275</v>
      </c>
      <c r="G26" s="10" t="s">
        <v>366</v>
      </c>
    </row>
    <row r="27" spans="1:7" ht="30" customHeight="1" x14ac:dyDescent="0.2">
      <c r="A27" s="101">
        <v>24</v>
      </c>
      <c r="B27" s="104" t="s">
        <v>367</v>
      </c>
      <c r="C27" s="103" t="s">
        <v>368</v>
      </c>
      <c r="D27" s="103" t="s">
        <v>369</v>
      </c>
      <c r="E27" s="98" t="s">
        <v>284</v>
      </c>
      <c r="F27" s="98" t="s">
        <v>275</v>
      </c>
      <c r="G27" s="10" t="s">
        <v>370</v>
      </c>
    </row>
    <row r="28" spans="1:7" ht="30" customHeight="1" x14ac:dyDescent="0.2">
      <c r="A28" s="101">
        <v>25</v>
      </c>
      <c r="B28" s="104" t="s">
        <v>371</v>
      </c>
      <c r="C28" s="103" t="s">
        <v>372</v>
      </c>
      <c r="D28" s="103" t="s">
        <v>373</v>
      </c>
      <c r="E28" s="98" t="s">
        <v>361</v>
      </c>
      <c r="F28" s="98" t="s">
        <v>294</v>
      </c>
      <c r="G28" s="10" t="s">
        <v>312</v>
      </c>
    </row>
    <row r="29" spans="1:7" ht="30" customHeight="1" x14ac:dyDescent="0.2">
      <c r="A29" s="101">
        <v>26</v>
      </c>
      <c r="B29" s="104" t="s">
        <v>374</v>
      </c>
      <c r="C29" s="103" t="s">
        <v>375</v>
      </c>
      <c r="D29" s="103" t="s">
        <v>376</v>
      </c>
      <c r="E29" s="98" t="s">
        <v>284</v>
      </c>
      <c r="F29" s="98" t="s">
        <v>275</v>
      </c>
      <c r="G29" s="10" t="s">
        <v>377</v>
      </c>
    </row>
    <row r="30" spans="1:7" ht="30" customHeight="1" x14ac:dyDescent="0.2">
      <c r="A30" s="101">
        <v>27</v>
      </c>
      <c r="B30" s="104" t="s">
        <v>378</v>
      </c>
      <c r="C30" s="103" t="s">
        <v>379</v>
      </c>
      <c r="D30" s="103" t="s">
        <v>380</v>
      </c>
      <c r="E30" s="98" t="s">
        <v>284</v>
      </c>
      <c r="F30" s="98" t="s">
        <v>275</v>
      </c>
      <c r="G30" s="10" t="s">
        <v>381</v>
      </c>
    </row>
    <row r="31" spans="1:7" ht="30" customHeight="1" x14ac:dyDescent="0.2">
      <c r="A31" s="101">
        <v>28</v>
      </c>
      <c r="B31" s="104" t="s">
        <v>382</v>
      </c>
      <c r="C31" s="103" t="s">
        <v>383</v>
      </c>
      <c r="D31" s="103" t="s">
        <v>384</v>
      </c>
      <c r="E31" s="98" t="s">
        <v>284</v>
      </c>
      <c r="F31" s="98" t="s">
        <v>275</v>
      </c>
      <c r="G31" s="10" t="s">
        <v>385</v>
      </c>
    </row>
    <row r="32" spans="1:7" ht="30" customHeight="1" x14ac:dyDescent="0.2">
      <c r="A32" s="101">
        <v>29</v>
      </c>
      <c r="B32" s="104" t="s">
        <v>386</v>
      </c>
      <c r="C32" s="103" t="s">
        <v>387</v>
      </c>
      <c r="D32" s="103" t="s">
        <v>388</v>
      </c>
      <c r="E32" s="98" t="s">
        <v>284</v>
      </c>
      <c r="F32" s="98" t="s">
        <v>294</v>
      </c>
      <c r="G32" s="82" t="s">
        <v>389</v>
      </c>
    </row>
    <row r="33" spans="1:7" ht="30" customHeight="1" x14ac:dyDescent="0.2">
      <c r="A33" s="101">
        <v>30</v>
      </c>
      <c r="B33" s="104" t="s">
        <v>390</v>
      </c>
      <c r="C33" s="103" t="s">
        <v>391</v>
      </c>
      <c r="D33" s="103" t="s">
        <v>392</v>
      </c>
      <c r="E33" s="98" t="s">
        <v>284</v>
      </c>
      <c r="F33" s="98" t="s">
        <v>275</v>
      </c>
      <c r="G33" s="82" t="s">
        <v>393</v>
      </c>
    </row>
    <row r="34" spans="1:7" ht="30" customHeight="1" x14ac:dyDescent="0.2">
      <c r="A34" s="101">
        <v>31</v>
      </c>
      <c r="B34" s="104" t="s">
        <v>394</v>
      </c>
      <c r="C34" s="103" t="s">
        <v>395</v>
      </c>
      <c r="D34" s="103" t="s">
        <v>396</v>
      </c>
      <c r="E34" s="98" t="s">
        <v>284</v>
      </c>
      <c r="F34" s="98" t="s">
        <v>275</v>
      </c>
      <c r="G34" s="82" t="s">
        <v>397</v>
      </c>
    </row>
    <row r="35" spans="1:7" ht="30" customHeight="1" x14ac:dyDescent="0.2">
      <c r="A35" s="101">
        <v>32</v>
      </c>
      <c r="B35" s="104" t="s">
        <v>398</v>
      </c>
      <c r="C35" s="103" t="s">
        <v>399</v>
      </c>
      <c r="D35" s="103" t="s">
        <v>400</v>
      </c>
      <c r="E35" s="98" t="s">
        <v>274</v>
      </c>
      <c r="F35" s="98" t="s">
        <v>299</v>
      </c>
      <c r="G35" s="82" t="s">
        <v>401</v>
      </c>
    </row>
    <row r="36" spans="1:7" ht="30" customHeight="1" x14ac:dyDescent="0.2">
      <c r="A36" s="101">
        <v>33</v>
      </c>
      <c r="B36" s="104" t="s">
        <v>402</v>
      </c>
      <c r="C36" s="103" t="s">
        <v>403</v>
      </c>
      <c r="D36" s="103" t="s">
        <v>404</v>
      </c>
      <c r="E36" s="98" t="s">
        <v>274</v>
      </c>
      <c r="F36" s="98" t="s">
        <v>299</v>
      </c>
      <c r="G36" s="82" t="s">
        <v>405</v>
      </c>
    </row>
    <row r="37" spans="1:7" ht="30" customHeight="1" x14ac:dyDescent="0.2">
      <c r="A37" s="101">
        <v>34</v>
      </c>
      <c r="B37" s="13" t="s">
        <v>406</v>
      </c>
      <c r="C37" s="105" t="s">
        <v>407</v>
      </c>
      <c r="D37" s="105" t="s">
        <v>408</v>
      </c>
      <c r="E37" s="99" t="s">
        <v>274</v>
      </c>
      <c r="F37" s="99" t="s">
        <v>294</v>
      </c>
      <c r="G37" s="82" t="s">
        <v>393</v>
      </c>
    </row>
    <row r="38" spans="1:7" ht="30" customHeight="1" x14ac:dyDescent="0.2">
      <c r="A38" s="101">
        <v>35</v>
      </c>
      <c r="B38" s="106" t="s">
        <v>409</v>
      </c>
      <c r="C38" s="105" t="s">
        <v>410</v>
      </c>
      <c r="D38" s="105" t="s">
        <v>411</v>
      </c>
      <c r="E38" s="99" t="s">
        <v>284</v>
      </c>
      <c r="F38" s="99" t="s">
        <v>275</v>
      </c>
      <c r="G38" s="82" t="s">
        <v>412</v>
      </c>
    </row>
    <row r="39" spans="1:7" ht="30" customHeight="1" x14ac:dyDescent="0.2">
      <c r="A39" s="101">
        <v>36</v>
      </c>
      <c r="B39" s="13" t="s">
        <v>413</v>
      </c>
      <c r="C39" s="105" t="s">
        <v>414</v>
      </c>
      <c r="D39" s="105" t="s">
        <v>415</v>
      </c>
      <c r="E39" s="99" t="s">
        <v>284</v>
      </c>
      <c r="F39" s="99" t="s">
        <v>275</v>
      </c>
      <c r="G39" s="82" t="s">
        <v>340</v>
      </c>
    </row>
    <row r="40" spans="1:7" ht="30" customHeight="1" x14ac:dyDescent="0.2">
      <c r="A40" s="101">
        <v>37</v>
      </c>
      <c r="B40" s="13" t="s">
        <v>416</v>
      </c>
      <c r="C40" s="105" t="s">
        <v>417</v>
      </c>
      <c r="D40" s="105" t="s">
        <v>418</v>
      </c>
      <c r="E40" s="99" t="s">
        <v>284</v>
      </c>
      <c r="F40" s="99" t="s">
        <v>419</v>
      </c>
      <c r="G40" s="82" t="s">
        <v>420</v>
      </c>
    </row>
    <row r="41" spans="1:7" ht="30" customHeight="1" x14ac:dyDescent="0.2">
      <c r="A41" s="101">
        <v>38</v>
      </c>
      <c r="B41" s="13" t="s">
        <v>421</v>
      </c>
      <c r="C41" s="105" t="s">
        <v>422</v>
      </c>
      <c r="D41" s="105" t="s">
        <v>423</v>
      </c>
      <c r="E41" s="99" t="s">
        <v>424</v>
      </c>
      <c r="F41" s="99" t="s">
        <v>419</v>
      </c>
      <c r="G41" s="82" t="s">
        <v>425</v>
      </c>
    </row>
    <row r="42" spans="1:7" ht="30" customHeight="1" x14ac:dyDescent="0.2">
      <c r="A42" s="101">
        <v>39</v>
      </c>
      <c r="B42" s="13" t="s">
        <v>426</v>
      </c>
      <c r="C42" s="105" t="s">
        <v>427</v>
      </c>
      <c r="D42" s="105" t="s">
        <v>428</v>
      </c>
      <c r="E42" s="99" t="s">
        <v>284</v>
      </c>
      <c r="F42" s="99" t="s">
        <v>294</v>
      </c>
      <c r="G42" s="82" t="s">
        <v>429</v>
      </c>
    </row>
    <row r="43" spans="1:7" ht="30" customHeight="1" x14ac:dyDescent="0.2">
      <c r="A43" s="101">
        <v>40</v>
      </c>
      <c r="B43" s="13" t="s">
        <v>430</v>
      </c>
      <c r="C43" s="105" t="s">
        <v>431</v>
      </c>
      <c r="D43" s="105" t="s">
        <v>432</v>
      </c>
      <c r="E43" s="99" t="s">
        <v>433</v>
      </c>
      <c r="F43" s="99" t="s">
        <v>294</v>
      </c>
      <c r="G43" s="82" t="s">
        <v>434</v>
      </c>
    </row>
    <row r="44" spans="1:7" ht="30" customHeight="1" x14ac:dyDescent="0.2">
      <c r="A44" s="101">
        <v>41</v>
      </c>
      <c r="B44" s="13" t="s">
        <v>435</v>
      </c>
      <c r="C44" s="105" t="s">
        <v>436</v>
      </c>
      <c r="D44" s="105" t="s">
        <v>437</v>
      </c>
      <c r="E44" s="99" t="s">
        <v>433</v>
      </c>
      <c r="F44" s="99" t="s">
        <v>294</v>
      </c>
      <c r="G44" s="82" t="s">
        <v>425</v>
      </c>
    </row>
    <row r="45" spans="1:7" ht="30" customHeight="1" x14ac:dyDescent="0.2">
      <c r="A45" s="101">
        <v>42</v>
      </c>
      <c r="B45" s="13" t="s">
        <v>438</v>
      </c>
      <c r="C45" s="105" t="s">
        <v>439</v>
      </c>
      <c r="D45" s="105" t="s">
        <v>440</v>
      </c>
      <c r="E45" s="99" t="s">
        <v>433</v>
      </c>
      <c r="F45" s="99" t="s">
        <v>419</v>
      </c>
      <c r="G45" s="82" t="s">
        <v>441</v>
      </c>
    </row>
    <row r="46" spans="1:7" ht="30" customHeight="1" x14ac:dyDescent="0.2">
      <c r="A46" s="101">
        <v>43</v>
      </c>
      <c r="B46" s="104" t="s">
        <v>442</v>
      </c>
      <c r="C46" s="103" t="s">
        <v>443</v>
      </c>
      <c r="D46" s="103" t="s">
        <v>444</v>
      </c>
      <c r="E46" s="98" t="s">
        <v>284</v>
      </c>
      <c r="F46" s="98" t="s">
        <v>275</v>
      </c>
      <c r="G46" s="82" t="s">
        <v>445</v>
      </c>
    </row>
    <row r="47" spans="1:7" ht="30" customHeight="1" x14ac:dyDescent="0.2">
      <c r="A47" s="101">
        <v>44</v>
      </c>
      <c r="B47" s="104" t="s">
        <v>446</v>
      </c>
      <c r="C47" s="103" t="s">
        <v>447</v>
      </c>
      <c r="D47" s="103" t="s">
        <v>448</v>
      </c>
      <c r="E47" s="98" t="s">
        <v>274</v>
      </c>
      <c r="F47" s="98" t="s">
        <v>294</v>
      </c>
      <c r="G47" s="10" t="s">
        <v>449</v>
      </c>
    </row>
    <row r="48" spans="1:7" ht="30" customHeight="1" x14ac:dyDescent="0.2">
      <c r="A48" s="101">
        <v>45</v>
      </c>
      <c r="B48" s="104" t="s">
        <v>450</v>
      </c>
      <c r="C48" s="103" t="s">
        <v>451</v>
      </c>
      <c r="D48" s="103" t="s">
        <v>452</v>
      </c>
      <c r="E48" s="98" t="s">
        <v>284</v>
      </c>
      <c r="F48" s="98" t="s">
        <v>275</v>
      </c>
      <c r="G48" s="10" t="s">
        <v>453</v>
      </c>
    </row>
    <row r="49" spans="1:7" ht="30" customHeight="1" x14ac:dyDescent="0.2">
      <c r="A49" s="101">
        <v>46</v>
      </c>
      <c r="B49" s="104" t="s">
        <v>454</v>
      </c>
      <c r="C49" s="103" t="s">
        <v>455</v>
      </c>
      <c r="D49" s="103" t="s">
        <v>456</v>
      </c>
      <c r="E49" s="98" t="s">
        <v>284</v>
      </c>
      <c r="F49" s="98" t="s">
        <v>275</v>
      </c>
      <c r="G49" s="10" t="s">
        <v>312</v>
      </c>
    </row>
    <row r="50" spans="1:7" ht="30" customHeight="1" x14ac:dyDescent="0.2">
      <c r="A50" s="101">
        <v>47</v>
      </c>
      <c r="B50" s="13" t="s">
        <v>457</v>
      </c>
      <c r="C50" s="105" t="s">
        <v>458</v>
      </c>
      <c r="D50" s="105" t="s">
        <v>459</v>
      </c>
      <c r="E50" s="99" t="s">
        <v>460</v>
      </c>
      <c r="F50" s="99" t="s">
        <v>275</v>
      </c>
      <c r="G50" s="82" t="s">
        <v>461</v>
      </c>
    </row>
    <row r="51" spans="1:7" ht="30" customHeight="1" x14ac:dyDescent="0.2">
      <c r="A51" s="101">
        <v>48</v>
      </c>
      <c r="B51" s="13" t="s">
        <v>462</v>
      </c>
      <c r="C51" s="105" t="s">
        <v>463</v>
      </c>
      <c r="D51" s="105" t="s">
        <v>464</v>
      </c>
      <c r="E51" s="99" t="s">
        <v>274</v>
      </c>
      <c r="F51" s="99" t="s">
        <v>294</v>
      </c>
      <c r="G51" s="82" t="s">
        <v>465</v>
      </c>
    </row>
    <row r="52" spans="1:7" ht="15" customHeight="1" x14ac:dyDescent="0.2"/>
    <row r="53" spans="1:7" ht="15" customHeight="1" x14ac:dyDescent="0.2"/>
    <row r="54" spans="1:7" x14ac:dyDescent="0.2">
      <c r="A54" s="22" t="s">
        <v>466</v>
      </c>
    </row>
    <row r="55" spans="1:7" ht="15" customHeight="1" x14ac:dyDescent="0.2">
      <c r="A55" s="5" t="s">
        <v>467</v>
      </c>
    </row>
    <row r="56" spans="1:7" x14ac:dyDescent="0.2">
      <c r="A56" s="22" t="s">
        <v>294</v>
      </c>
      <c r="B56" s="5" t="s">
        <v>468</v>
      </c>
    </row>
    <row r="57" spans="1:7" ht="15" customHeight="1" x14ac:dyDescent="0.2">
      <c r="A57" s="22" t="s">
        <v>419</v>
      </c>
      <c r="B57" s="5" t="s">
        <v>469</v>
      </c>
    </row>
    <row r="58" spans="1:7" ht="15" customHeight="1" x14ac:dyDescent="0.2">
      <c r="A58" s="22" t="s">
        <v>275</v>
      </c>
      <c r="B58" s="5" t="s">
        <v>470</v>
      </c>
    </row>
    <row r="59" spans="1:7" ht="15" customHeight="1" x14ac:dyDescent="0.2">
      <c r="A59" s="22" t="s">
        <v>299</v>
      </c>
      <c r="B59" s="5" t="s">
        <v>471</v>
      </c>
    </row>
    <row r="60" spans="1:7" ht="15" customHeight="1" x14ac:dyDescent="0.2"/>
    <row r="61" spans="1:7" ht="15" customHeight="1" x14ac:dyDescent="0.2"/>
    <row r="62" spans="1:7" ht="15" customHeight="1" x14ac:dyDescent="0.2"/>
  </sheetData>
  <sheetProtection sheet="1" objects="1" scenarios="1"/>
  <hyperlinks>
    <hyperlink ref="G32" r:id="rId1" xr:uid="{00000000-0004-0000-0400-000000000000}"/>
    <hyperlink ref="G33" r:id="rId2" xr:uid="{00000000-0004-0000-0400-000001000000}"/>
    <hyperlink ref="G34" r:id="rId3" xr:uid="{00000000-0004-0000-0400-000002000000}"/>
    <hyperlink ref="G35" r:id="rId4" xr:uid="{00000000-0004-0000-0400-000003000000}"/>
    <hyperlink ref="G36" r:id="rId5" xr:uid="{00000000-0004-0000-0400-000004000000}"/>
    <hyperlink ref="G37" r:id="rId6" xr:uid="{00000000-0004-0000-0400-000005000000}"/>
    <hyperlink ref="G38" r:id="rId7" xr:uid="{00000000-0004-0000-0400-000006000000}"/>
    <hyperlink ref="G39" r:id="rId8" xr:uid="{00000000-0004-0000-0400-000007000000}"/>
    <hyperlink ref="G40" r:id="rId9" xr:uid="{00000000-0004-0000-0400-000008000000}"/>
    <hyperlink ref="G41" r:id="rId10" xr:uid="{00000000-0004-0000-0400-000009000000}"/>
    <hyperlink ref="G42" r:id="rId11" xr:uid="{00000000-0004-0000-0400-00000A000000}"/>
    <hyperlink ref="G43" r:id="rId12" xr:uid="{00000000-0004-0000-0400-00000B000000}"/>
    <hyperlink ref="G44" r:id="rId13" xr:uid="{00000000-0004-0000-0400-00000C000000}"/>
    <hyperlink ref="G45" r:id="rId14" xr:uid="{00000000-0004-0000-0400-00000D000000}"/>
    <hyperlink ref="G46" r:id="rId15" xr:uid="{00000000-0004-0000-0400-00000E000000}"/>
    <hyperlink ref="G50" r:id="rId16" xr:uid="{00000000-0004-0000-0400-00000F000000}"/>
    <hyperlink ref="G51" r:id="rId17" xr:uid="{00000000-0004-0000-0400-000010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1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G9"/>
  <sheetViews>
    <sheetView showGridLines="0" zoomScale="85" zoomScaleNormal="85" workbookViewId="0">
      <pane ySplit="3" topLeftCell="A4" activePane="bottomLeft" state="frozen"/>
      <selection activeCell="R16" sqref="R16"/>
      <selection pane="bottomLeft" activeCell="A2" sqref="A2"/>
    </sheetView>
  </sheetViews>
  <sheetFormatPr baseColWidth="10" defaultColWidth="8.6640625" defaultRowHeight="15" x14ac:dyDescent="0.2"/>
  <cols>
    <col min="1" max="1" width="26" customWidth="1"/>
    <col min="2" max="2" width="11" customWidth="1"/>
    <col min="3" max="3" width="13" customWidth="1"/>
    <col min="4" max="4" width="16" customWidth="1"/>
    <col min="5" max="5" width="10" customWidth="1"/>
    <col min="6" max="6" width="15" customWidth="1"/>
    <col min="7" max="7" width="30" customWidth="1"/>
  </cols>
  <sheetData>
    <row r="1" spans="1:7" ht="17.25" customHeight="1" x14ac:dyDescent="0.2">
      <c r="A1" s="1" t="s">
        <v>472</v>
      </c>
      <c r="C1" s="2" t="str">
        <f>IF(Checks!$C$4&gt;0,"MODEL IN ERROR","checks OK")</f>
        <v>checks OK</v>
      </c>
    </row>
    <row r="2" spans="1:7" ht="15" customHeight="1" x14ac:dyDescent="0.2">
      <c r="A2" s="5" t="s">
        <v>473</v>
      </c>
    </row>
    <row r="3" spans="1:7" ht="15" customHeight="1" x14ac:dyDescent="0.2">
      <c r="A3" s="93" t="s">
        <v>474</v>
      </c>
    </row>
    <row r="4" spans="1:7" ht="15" customHeight="1" x14ac:dyDescent="0.2">
      <c r="A4" s="7" t="s">
        <v>475</v>
      </c>
    </row>
    <row r="5" spans="1:7" ht="15" customHeight="1" x14ac:dyDescent="0.2">
      <c r="A5" s="11" t="s">
        <v>476</v>
      </c>
      <c r="B5" s="11" t="s">
        <v>477</v>
      </c>
      <c r="C5" s="11" t="s">
        <v>478</v>
      </c>
      <c r="D5" s="11" t="s">
        <v>479</v>
      </c>
      <c r="E5" s="11" t="s">
        <v>480</v>
      </c>
      <c r="F5" s="11" t="s">
        <v>481</v>
      </c>
      <c r="G5" s="11" t="s">
        <v>482</v>
      </c>
    </row>
    <row r="6" spans="1:7" ht="15" customHeight="1" x14ac:dyDescent="0.2">
      <c r="A6" s="8" t="s">
        <v>483</v>
      </c>
      <c r="B6" s="24">
        <v>700</v>
      </c>
      <c r="C6" s="24">
        <v>80</v>
      </c>
      <c r="D6" s="25" t="s">
        <v>484</v>
      </c>
      <c r="E6" s="25" t="s">
        <v>485</v>
      </c>
      <c r="F6" s="21" t="s">
        <v>485</v>
      </c>
      <c r="G6" s="5" t="s">
        <v>486</v>
      </c>
    </row>
    <row r="7" spans="1:7" ht="15" customHeight="1" x14ac:dyDescent="0.2">
      <c r="A7" s="8" t="s">
        <v>487</v>
      </c>
      <c r="B7" s="24">
        <v>1000</v>
      </c>
      <c r="C7" s="24">
        <v>192</v>
      </c>
      <c r="D7" s="25" t="s">
        <v>484</v>
      </c>
      <c r="E7" s="25">
        <v>13.33</v>
      </c>
      <c r="F7" s="21">
        <f>ROUND(1000/(E7/8),0)</f>
        <v>600</v>
      </c>
      <c r="G7" s="5" t="s">
        <v>486</v>
      </c>
    </row>
    <row r="8" spans="1:7" ht="15" customHeight="1" x14ac:dyDescent="0.2">
      <c r="A8" s="8" t="s">
        <v>488</v>
      </c>
      <c r="B8" s="24">
        <v>1200</v>
      </c>
      <c r="C8" s="24">
        <v>192</v>
      </c>
      <c r="D8" s="25" t="s">
        <v>489</v>
      </c>
      <c r="E8" s="26">
        <v>120</v>
      </c>
      <c r="F8" s="27">
        <f>ROUND(1000/(E8/72),0)</f>
        <v>600</v>
      </c>
      <c r="G8" s="5" t="s">
        <v>486</v>
      </c>
    </row>
    <row r="9" spans="1:7" ht="15" customHeight="1" x14ac:dyDescent="0.2">
      <c r="A9" s="5" t="s">
        <v>490</v>
      </c>
    </row>
  </sheetData>
  <sheetProtection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D147"/>
  <sheetViews>
    <sheetView showGridLines="0" zoomScale="85" zoomScaleNormal="85" workbookViewId="0">
      <pane ySplit="24" topLeftCell="A25" activePane="bottomLeft" state="frozen"/>
      <selection activeCell="R16" sqref="R16"/>
      <selection pane="bottomLeft" activeCell="A2" sqref="A2"/>
    </sheetView>
  </sheetViews>
  <sheetFormatPr baseColWidth="10" defaultColWidth="8.6640625" defaultRowHeight="15" x14ac:dyDescent="0.2"/>
  <cols>
    <col min="1" max="1" width="22" customWidth="1"/>
    <col min="2" max="2" width="16" customWidth="1"/>
    <col min="3" max="3" width="14" customWidth="1"/>
  </cols>
  <sheetData>
    <row r="1" spans="1:4" ht="17.25" customHeight="1" x14ac:dyDescent="0.2">
      <c r="A1" s="1" t="s">
        <v>491</v>
      </c>
      <c r="C1" s="2" t="str">
        <f>IF(Checks!$C$4&gt;0,"MODEL IN ERROR","checks OK")</f>
        <v>checks OK</v>
      </c>
    </row>
    <row r="2" spans="1:4" ht="15" customHeight="1" x14ac:dyDescent="0.2">
      <c r="A2" s="5" t="s">
        <v>492</v>
      </c>
    </row>
    <row r="3" spans="1:4" ht="15" customHeight="1" x14ac:dyDescent="0.2">
      <c r="A3" s="23" t="s">
        <v>493</v>
      </c>
    </row>
    <row r="4" spans="1:4" ht="15" customHeight="1" x14ac:dyDescent="0.2">
      <c r="A4" s="7" t="s">
        <v>494</v>
      </c>
    </row>
    <row r="5" spans="1:4" ht="15" customHeight="1" x14ac:dyDescent="0.2">
      <c r="A5" s="11" t="s">
        <v>495</v>
      </c>
      <c r="B5" s="11" t="s">
        <v>496</v>
      </c>
      <c r="C5" s="11" t="s">
        <v>497</v>
      </c>
      <c r="D5" s="11" t="s">
        <v>482</v>
      </c>
    </row>
    <row r="6" spans="1:4" ht="15" customHeight="1" x14ac:dyDescent="0.2">
      <c r="A6" s="4" t="s">
        <v>498</v>
      </c>
      <c r="B6" s="21">
        <f>COUNTIFS(AzurePrice[Tier],"On-demand")</f>
        <v>24</v>
      </c>
      <c r="C6" s="28">
        <f>AVERAGEIFS(AzurePrice[$/GPU-hr],AzurePrice[Tier],"On-demand")</f>
        <v>16.053333333333338</v>
      </c>
      <c r="D6" s="96" t="s">
        <v>499</v>
      </c>
    </row>
    <row r="7" spans="1:4" ht="15" customHeight="1" x14ac:dyDescent="0.2">
      <c r="A7" s="4" t="s">
        <v>500</v>
      </c>
      <c r="B7" s="21">
        <f>COUNTIFS(AzurePrice[Tier],"Reserved 1yr")</f>
        <v>24</v>
      </c>
      <c r="C7" s="28">
        <f>AVERAGEIFS(AzurePrice[$/GPU-hr],AzurePrice[Tier],"Reserved 1yr")</f>
        <v>10.261249999999999</v>
      </c>
      <c r="D7" s="96" t="s">
        <v>499</v>
      </c>
    </row>
    <row r="8" spans="1:4" ht="15" customHeight="1" x14ac:dyDescent="0.2">
      <c r="A8" s="4" t="s">
        <v>501</v>
      </c>
      <c r="B8" s="21">
        <f>COUNTIFS(AzurePrice[Tier],"Reserved 3yr")</f>
        <v>24</v>
      </c>
      <c r="C8" s="28">
        <f>AVERAGEIFS(AzurePrice[$/GPU-hr],AzurePrice[Tier],"Reserved 3yr")</f>
        <v>7.036666666666668</v>
      </c>
      <c r="D8" s="96" t="s">
        <v>499</v>
      </c>
    </row>
    <row r="9" spans="1:4" ht="15" customHeight="1" x14ac:dyDescent="0.2">
      <c r="A9" s="4" t="s">
        <v>502</v>
      </c>
      <c r="B9" s="21">
        <f>COUNTIFS(AzurePrice[Tier],"Reserved 5yr")</f>
        <v>24</v>
      </c>
      <c r="C9" s="28">
        <f>AVERAGEIFS(AzurePrice[$/GPU-hr],AzurePrice[Tier],"Reserved 5yr")</f>
        <v>6.4124999999999979</v>
      </c>
      <c r="D9" s="96" t="s">
        <v>499</v>
      </c>
    </row>
    <row r="10" spans="1:4" ht="15" customHeight="1" x14ac:dyDescent="0.2">
      <c r="A10" s="4" t="s">
        <v>503</v>
      </c>
      <c r="B10" s="21">
        <f>COUNTIFS(AzurePrice[Tier],"Spot")</f>
        <v>24</v>
      </c>
      <c r="C10" s="28">
        <f>AVERAGEIFS(AzurePrice[$/GPU-hr],AzurePrice[Tier],"Spot")</f>
        <v>2.9666666666666668</v>
      </c>
      <c r="D10" s="96" t="s">
        <v>499</v>
      </c>
    </row>
    <row r="12" spans="1:4" ht="15" customHeight="1" x14ac:dyDescent="0.2">
      <c r="A12" s="7" t="s">
        <v>504</v>
      </c>
    </row>
    <row r="13" spans="1:4" ht="15" customHeight="1" x14ac:dyDescent="0.2">
      <c r="A13" s="11" t="s">
        <v>505</v>
      </c>
      <c r="B13" s="11" t="s">
        <v>506</v>
      </c>
      <c r="C13" s="11" t="s">
        <v>507</v>
      </c>
      <c r="D13" s="11" t="s">
        <v>482</v>
      </c>
    </row>
    <row r="14" spans="1:4" ht="15" customHeight="1" x14ac:dyDescent="0.2">
      <c r="A14" s="8" t="s">
        <v>498</v>
      </c>
      <c r="B14" s="25">
        <v>35</v>
      </c>
      <c r="C14" s="29">
        <v>6.85</v>
      </c>
      <c r="D14" s="96" t="s">
        <v>508</v>
      </c>
    </row>
    <row r="15" spans="1:4" ht="15" customHeight="1" x14ac:dyDescent="0.2">
      <c r="A15" s="8" t="s">
        <v>509</v>
      </c>
      <c r="B15" s="25">
        <v>45</v>
      </c>
      <c r="C15" s="29">
        <v>5.71</v>
      </c>
      <c r="D15" s="96" t="s">
        <v>508</v>
      </c>
    </row>
    <row r="16" spans="1:4" ht="15" customHeight="1" x14ac:dyDescent="0.2">
      <c r="A16" s="8" t="s">
        <v>510</v>
      </c>
      <c r="B16" s="25">
        <v>7</v>
      </c>
      <c r="C16" s="29">
        <v>3.49</v>
      </c>
      <c r="D16" s="96" t="s">
        <v>508</v>
      </c>
    </row>
    <row r="17" spans="1:4" ht="15" customHeight="1" x14ac:dyDescent="0.2">
      <c r="A17" s="8" t="s">
        <v>503</v>
      </c>
      <c r="B17" s="25">
        <v>20</v>
      </c>
      <c r="C17" s="29">
        <v>3.6</v>
      </c>
      <c r="D17" s="96" t="s">
        <v>508</v>
      </c>
    </row>
    <row r="19" spans="1:4" ht="15" customHeight="1" x14ac:dyDescent="0.2">
      <c r="A19" s="7" t="s">
        <v>511</v>
      </c>
    </row>
    <row r="20" spans="1:4" ht="15" customHeight="1" x14ac:dyDescent="0.2">
      <c r="A20" s="4" t="s">
        <v>512</v>
      </c>
      <c r="C20" s="29">
        <v>3.35</v>
      </c>
      <c r="D20" s="96" t="s">
        <v>513</v>
      </c>
    </row>
    <row r="21" spans="1:4" ht="15" customHeight="1" x14ac:dyDescent="0.2">
      <c r="A21" s="4" t="s">
        <v>514</v>
      </c>
      <c r="C21" s="29">
        <v>8.1999999999999993</v>
      </c>
      <c r="D21" s="96" t="s">
        <v>515</v>
      </c>
    </row>
    <row r="22" spans="1:4" ht="15" customHeight="1" x14ac:dyDescent="0.2">
      <c r="A22" s="5" t="s">
        <v>516</v>
      </c>
    </row>
    <row r="24" spans="1:4" ht="15" customHeight="1" x14ac:dyDescent="0.2">
      <c r="A24" s="7" t="s">
        <v>517</v>
      </c>
    </row>
    <row r="25" spans="1:4" ht="15" customHeight="1" x14ac:dyDescent="0.2">
      <c r="A25" s="11" t="s">
        <v>518</v>
      </c>
      <c r="B25" s="11" t="s">
        <v>495</v>
      </c>
      <c r="C25" s="11" t="s">
        <v>38</v>
      </c>
    </row>
    <row r="26" spans="1:4" ht="15" customHeight="1" x14ac:dyDescent="0.2">
      <c r="A26" s="8" t="s">
        <v>519</v>
      </c>
      <c r="B26" s="8" t="s">
        <v>498</v>
      </c>
      <c r="C26" s="29">
        <v>17.82</v>
      </c>
    </row>
    <row r="27" spans="1:4" ht="15" customHeight="1" x14ac:dyDescent="0.2">
      <c r="A27" s="8" t="s">
        <v>520</v>
      </c>
      <c r="B27" s="8" t="s">
        <v>498</v>
      </c>
      <c r="C27" s="29">
        <v>14.75</v>
      </c>
    </row>
    <row r="28" spans="1:4" ht="15" customHeight="1" x14ac:dyDescent="0.2">
      <c r="A28" s="8" t="s">
        <v>521</v>
      </c>
      <c r="B28" s="8" t="s">
        <v>498</v>
      </c>
      <c r="C28" s="29">
        <v>15.12</v>
      </c>
    </row>
    <row r="29" spans="1:4" ht="15" customHeight="1" x14ac:dyDescent="0.2">
      <c r="A29" s="8" t="s">
        <v>522</v>
      </c>
      <c r="B29" s="8" t="s">
        <v>498</v>
      </c>
      <c r="C29" s="29">
        <v>12.29</v>
      </c>
    </row>
    <row r="30" spans="1:4" ht="15" customHeight="1" x14ac:dyDescent="0.2">
      <c r="A30" s="8" t="s">
        <v>523</v>
      </c>
      <c r="B30" s="8" t="s">
        <v>498</v>
      </c>
      <c r="C30" s="29">
        <v>12.29</v>
      </c>
    </row>
    <row r="31" spans="1:4" ht="15" customHeight="1" x14ac:dyDescent="0.2">
      <c r="A31" s="8" t="s">
        <v>524</v>
      </c>
      <c r="B31" s="8" t="s">
        <v>498</v>
      </c>
      <c r="C31" s="29">
        <v>17.82</v>
      </c>
    </row>
    <row r="32" spans="1:4" ht="15" customHeight="1" x14ac:dyDescent="0.2">
      <c r="A32" s="8" t="s">
        <v>525</v>
      </c>
      <c r="B32" s="8" t="s">
        <v>498</v>
      </c>
      <c r="C32" s="29">
        <v>19.05</v>
      </c>
    </row>
    <row r="33" spans="1:3" ht="15" customHeight="1" x14ac:dyDescent="0.2">
      <c r="A33" s="8" t="s">
        <v>526</v>
      </c>
      <c r="B33" s="8" t="s">
        <v>498</v>
      </c>
      <c r="C33" s="29">
        <v>16.59</v>
      </c>
    </row>
    <row r="34" spans="1:3" ht="15" customHeight="1" x14ac:dyDescent="0.2">
      <c r="A34" s="8" t="s">
        <v>527</v>
      </c>
      <c r="B34" s="8" t="s">
        <v>498</v>
      </c>
      <c r="C34" s="29">
        <v>14.75</v>
      </c>
    </row>
    <row r="35" spans="1:3" ht="15" customHeight="1" x14ac:dyDescent="0.2">
      <c r="A35" s="8" t="s">
        <v>528</v>
      </c>
      <c r="B35" s="8" t="s">
        <v>498</v>
      </c>
      <c r="C35" s="29">
        <v>15.98</v>
      </c>
    </row>
    <row r="36" spans="1:3" ht="15" customHeight="1" x14ac:dyDescent="0.2">
      <c r="A36" s="8" t="s">
        <v>529</v>
      </c>
      <c r="B36" s="8" t="s">
        <v>498</v>
      </c>
      <c r="C36" s="29">
        <v>21.08</v>
      </c>
    </row>
    <row r="37" spans="1:3" ht="15" customHeight="1" x14ac:dyDescent="0.2">
      <c r="A37" s="8" t="s">
        <v>530</v>
      </c>
      <c r="B37" s="8" t="s">
        <v>498</v>
      </c>
      <c r="C37" s="29">
        <v>23.33</v>
      </c>
    </row>
    <row r="38" spans="1:3" ht="15" customHeight="1" x14ac:dyDescent="0.2">
      <c r="A38" s="8" t="s">
        <v>531</v>
      </c>
      <c r="B38" s="8" t="s">
        <v>498</v>
      </c>
      <c r="C38" s="29">
        <v>14.75</v>
      </c>
    </row>
    <row r="39" spans="1:3" ht="15" customHeight="1" x14ac:dyDescent="0.2">
      <c r="A39" s="8" t="s">
        <v>532</v>
      </c>
      <c r="B39" s="8" t="s">
        <v>498</v>
      </c>
      <c r="C39" s="29">
        <v>16.53</v>
      </c>
    </row>
    <row r="40" spans="1:3" ht="15" customHeight="1" x14ac:dyDescent="0.2">
      <c r="A40" s="8" t="s">
        <v>533</v>
      </c>
      <c r="B40" s="8" t="s">
        <v>498</v>
      </c>
      <c r="C40" s="29">
        <v>15.98</v>
      </c>
    </row>
    <row r="41" spans="1:3" ht="15" customHeight="1" x14ac:dyDescent="0.2">
      <c r="A41" s="8" t="s">
        <v>534</v>
      </c>
      <c r="B41" s="8" t="s">
        <v>498</v>
      </c>
      <c r="C41" s="29">
        <v>17.57</v>
      </c>
    </row>
    <row r="42" spans="1:3" ht="15" customHeight="1" x14ac:dyDescent="0.2">
      <c r="A42" s="8" t="s">
        <v>535</v>
      </c>
      <c r="B42" s="8" t="s">
        <v>498</v>
      </c>
      <c r="C42" s="29">
        <v>17.57</v>
      </c>
    </row>
    <row r="43" spans="1:3" ht="15" customHeight="1" x14ac:dyDescent="0.2">
      <c r="A43" s="8" t="s">
        <v>536</v>
      </c>
      <c r="B43" s="8" t="s">
        <v>498</v>
      </c>
      <c r="C43" s="29">
        <v>15.36</v>
      </c>
    </row>
    <row r="44" spans="1:3" ht="15" customHeight="1" x14ac:dyDescent="0.2">
      <c r="A44" s="8" t="s">
        <v>537</v>
      </c>
      <c r="B44" s="8" t="s">
        <v>498</v>
      </c>
      <c r="C44" s="29">
        <v>15.36</v>
      </c>
    </row>
    <row r="45" spans="1:3" ht="15" customHeight="1" x14ac:dyDescent="0.2">
      <c r="A45" s="8" t="s">
        <v>538</v>
      </c>
      <c r="B45" s="8" t="s">
        <v>498</v>
      </c>
      <c r="C45" s="29">
        <v>14.75</v>
      </c>
    </row>
    <row r="46" spans="1:3" ht="15" customHeight="1" x14ac:dyDescent="0.2">
      <c r="A46" s="8" t="s">
        <v>539</v>
      </c>
      <c r="B46" s="8" t="s">
        <v>498</v>
      </c>
      <c r="C46" s="29">
        <v>15.98</v>
      </c>
    </row>
    <row r="47" spans="1:3" ht="15" customHeight="1" x14ac:dyDescent="0.2">
      <c r="A47" s="8" t="s">
        <v>540</v>
      </c>
      <c r="B47" s="8" t="s">
        <v>498</v>
      </c>
      <c r="C47" s="29">
        <v>15.98</v>
      </c>
    </row>
    <row r="48" spans="1:3" ht="15" customHeight="1" x14ac:dyDescent="0.2">
      <c r="A48" s="8" t="s">
        <v>541</v>
      </c>
      <c r="B48" s="8" t="s">
        <v>498</v>
      </c>
      <c r="C48" s="29">
        <v>12.29</v>
      </c>
    </row>
    <row r="49" spans="1:3" ht="15" customHeight="1" x14ac:dyDescent="0.2">
      <c r="A49" s="8" t="s">
        <v>542</v>
      </c>
      <c r="B49" s="8" t="s">
        <v>498</v>
      </c>
      <c r="C49" s="29">
        <v>12.29</v>
      </c>
    </row>
    <row r="50" spans="1:3" ht="15" customHeight="1" x14ac:dyDescent="0.2">
      <c r="A50" s="8" t="s">
        <v>519</v>
      </c>
      <c r="B50" s="8" t="s">
        <v>500</v>
      </c>
      <c r="C50" s="29">
        <v>11.41</v>
      </c>
    </row>
    <row r="51" spans="1:3" ht="15" customHeight="1" x14ac:dyDescent="0.2">
      <c r="A51" s="8" t="s">
        <v>519</v>
      </c>
      <c r="B51" s="8" t="s">
        <v>501</v>
      </c>
      <c r="C51" s="29">
        <v>7.83</v>
      </c>
    </row>
    <row r="52" spans="1:3" ht="15" customHeight="1" x14ac:dyDescent="0.2">
      <c r="A52" s="8" t="s">
        <v>519</v>
      </c>
      <c r="B52" s="8" t="s">
        <v>502</v>
      </c>
      <c r="C52" s="29">
        <v>7.13</v>
      </c>
    </row>
    <row r="53" spans="1:3" ht="15" customHeight="1" x14ac:dyDescent="0.2">
      <c r="A53" s="8" t="s">
        <v>520</v>
      </c>
      <c r="B53" s="8" t="s">
        <v>500</v>
      </c>
      <c r="C53" s="29">
        <v>9.44</v>
      </c>
    </row>
    <row r="54" spans="1:3" ht="15" customHeight="1" x14ac:dyDescent="0.2">
      <c r="A54" s="8" t="s">
        <v>520</v>
      </c>
      <c r="B54" s="8" t="s">
        <v>501</v>
      </c>
      <c r="C54" s="29">
        <v>6.47</v>
      </c>
    </row>
    <row r="55" spans="1:3" ht="15" customHeight="1" x14ac:dyDescent="0.2">
      <c r="A55" s="8" t="s">
        <v>520</v>
      </c>
      <c r="B55" s="8" t="s">
        <v>502</v>
      </c>
      <c r="C55" s="29">
        <v>5.9</v>
      </c>
    </row>
    <row r="56" spans="1:3" ht="15" customHeight="1" x14ac:dyDescent="0.2">
      <c r="A56" s="8" t="s">
        <v>521</v>
      </c>
      <c r="B56" s="8" t="s">
        <v>500</v>
      </c>
      <c r="C56" s="29">
        <v>9.67</v>
      </c>
    </row>
    <row r="57" spans="1:3" ht="15" customHeight="1" x14ac:dyDescent="0.2">
      <c r="A57" s="8" t="s">
        <v>521</v>
      </c>
      <c r="B57" s="8" t="s">
        <v>501</v>
      </c>
      <c r="C57" s="29">
        <v>6.64</v>
      </c>
    </row>
    <row r="58" spans="1:3" ht="15" customHeight="1" x14ac:dyDescent="0.2">
      <c r="A58" s="8" t="s">
        <v>521</v>
      </c>
      <c r="B58" s="8" t="s">
        <v>502</v>
      </c>
      <c r="C58" s="29">
        <v>6.05</v>
      </c>
    </row>
    <row r="59" spans="1:3" ht="15" customHeight="1" x14ac:dyDescent="0.2">
      <c r="A59" s="8" t="s">
        <v>522</v>
      </c>
      <c r="B59" s="8" t="s">
        <v>500</v>
      </c>
      <c r="C59" s="29">
        <v>7.87</v>
      </c>
    </row>
    <row r="60" spans="1:3" ht="15" customHeight="1" x14ac:dyDescent="0.2">
      <c r="A60" s="8" t="s">
        <v>522</v>
      </c>
      <c r="B60" s="8" t="s">
        <v>501</v>
      </c>
      <c r="C60" s="29">
        <v>5.4</v>
      </c>
    </row>
    <row r="61" spans="1:3" ht="15" customHeight="1" x14ac:dyDescent="0.2">
      <c r="A61" s="8" t="s">
        <v>522</v>
      </c>
      <c r="B61" s="8" t="s">
        <v>502</v>
      </c>
      <c r="C61" s="29">
        <v>4.92</v>
      </c>
    </row>
    <row r="62" spans="1:3" ht="15" customHeight="1" x14ac:dyDescent="0.2">
      <c r="A62" s="8" t="s">
        <v>523</v>
      </c>
      <c r="B62" s="8" t="s">
        <v>500</v>
      </c>
      <c r="C62" s="29">
        <v>7.87</v>
      </c>
    </row>
    <row r="63" spans="1:3" ht="15" customHeight="1" x14ac:dyDescent="0.2">
      <c r="A63" s="8" t="s">
        <v>523</v>
      </c>
      <c r="B63" s="8" t="s">
        <v>501</v>
      </c>
      <c r="C63" s="29">
        <v>5.4</v>
      </c>
    </row>
    <row r="64" spans="1:3" ht="15" customHeight="1" x14ac:dyDescent="0.2">
      <c r="A64" s="8" t="s">
        <v>523</v>
      </c>
      <c r="B64" s="8" t="s">
        <v>502</v>
      </c>
      <c r="C64" s="29">
        <v>4.92</v>
      </c>
    </row>
    <row r="65" spans="1:3" ht="15" customHeight="1" x14ac:dyDescent="0.2">
      <c r="A65" s="8" t="s">
        <v>524</v>
      </c>
      <c r="B65" s="8" t="s">
        <v>500</v>
      </c>
      <c r="C65" s="29">
        <v>11.41</v>
      </c>
    </row>
    <row r="66" spans="1:3" ht="15" customHeight="1" x14ac:dyDescent="0.2">
      <c r="A66" s="8" t="s">
        <v>524</v>
      </c>
      <c r="B66" s="8" t="s">
        <v>501</v>
      </c>
      <c r="C66" s="29">
        <v>7.82</v>
      </c>
    </row>
    <row r="67" spans="1:3" ht="15" customHeight="1" x14ac:dyDescent="0.2">
      <c r="A67" s="8" t="s">
        <v>524</v>
      </c>
      <c r="B67" s="8" t="s">
        <v>502</v>
      </c>
      <c r="C67" s="29">
        <v>7.13</v>
      </c>
    </row>
    <row r="68" spans="1:3" ht="15" customHeight="1" x14ac:dyDescent="0.2">
      <c r="A68" s="8" t="s">
        <v>525</v>
      </c>
      <c r="B68" s="8" t="s">
        <v>500</v>
      </c>
      <c r="C68" s="29">
        <v>12.19</v>
      </c>
    </row>
    <row r="69" spans="1:3" ht="15" customHeight="1" x14ac:dyDescent="0.2">
      <c r="A69" s="8" t="s">
        <v>525</v>
      </c>
      <c r="B69" s="8" t="s">
        <v>501</v>
      </c>
      <c r="C69" s="29">
        <v>8.36</v>
      </c>
    </row>
    <row r="70" spans="1:3" ht="15" customHeight="1" x14ac:dyDescent="0.2">
      <c r="A70" s="8" t="s">
        <v>525</v>
      </c>
      <c r="B70" s="8" t="s">
        <v>502</v>
      </c>
      <c r="C70" s="29">
        <v>7.62</v>
      </c>
    </row>
    <row r="71" spans="1:3" ht="15" customHeight="1" x14ac:dyDescent="0.2">
      <c r="A71" s="8" t="s">
        <v>526</v>
      </c>
      <c r="B71" s="8" t="s">
        <v>500</v>
      </c>
      <c r="C71" s="29">
        <v>10.62</v>
      </c>
    </row>
    <row r="72" spans="1:3" ht="15" customHeight="1" x14ac:dyDescent="0.2">
      <c r="A72" s="8" t="s">
        <v>526</v>
      </c>
      <c r="B72" s="8" t="s">
        <v>501</v>
      </c>
      <c r="C72" s="29">
        <v>7.28</v>
      </c>
    </row>
    <row r="73" spans="1:3" ht="15" customHeight="1" x14ac:dyDescent="0.2">
      <c r="A73" s="8" t="s">
        <v>526</v>
      </c>
      <c r="B73" s="8" t="s">
        <v>502</v>
      </c>
      <c r="C73" s="29">
        <v>6.64</v>
      </c>
    </row>
    <row r="74" spans="1:3" ht="15" customHeight="1" x14ac:dyDescent="0.2">
      <c r="A74" s="8" t="s">
        <v>527</v>
      </c>
      <c r="B74" s="8" t="s">
        <v>500</v>
      </c>
      <c r="C74" s="29">
        <v>9.44</v>
      </c>
    </row>
    <row r="75" spans="1:3" ht="15" customHeight="1" x14ac:dyDescent="0.2">
      <c r="A75" s="8" t="s">
        <v>527</v>
      </c>
      <c r="B75" s="8" t="s">
        <v>501</v>
      </c>
      <c r="C75" s="29">
        <v>6.47</v>
      </c>
    </row>
    <row r="76" spans="1:3" ht="15" customHeight="1" x14ac:dyDescent="0.2">
      <c r="A76" s="8" t="s">
        <v>527</v>
      </c>
      <c r="B76" s="8" t="s">
        <v>502</v>
      </c>
      <c r="C76" s="29">
        <v>5.9</v>
      </c>
    </row>
    <row r="77" spans="1:3" ht="15" customHeight="1" x14ac:dyDescent="0.2">
      <c r="A77" s="8" t="s">
        <v>528</v>
      </c>
      <c r="B77" s="8" t="s">
        <v>500</v>
      </c>
      <c r="C77" s="29">
        <v>10.23</v>
      </c>
    </row>
    <row r="78" spans="1:3" ht="15" customHeight="1" x14ac:dyDescent="0.2">
      <c r="A78" s="8" t="s">
        <v>528</v>
      </c>
      <c r="B78" s="8" t="s">
        <v>501</v>
      </c>
      <c r="C78" s="29">
        <v>7.01</v>
      </c>
    </row>
    <row r="79" spans="1:3" ht="15" customHeight="1" x14ac:dyDescent="0.2">
      <c r="A79" s="8" t="s">
        <v>528</v>
      </c>
      <c r="B79" s="8" t="s">
        <v>502</v>
      </c>
      <c r="C79" s="29">
        <v>6.39</v>
      </c>
    </row>
    <row r="80" spans="1:3" ht="15" customHeight="1" x14ac:dyDescent="0.2">
      <c r="A80" s="8" t="s">
        <v>529</v>
      </c>
      <c r="B80" s="8" t="s">
        <v>500</v>
      </c>
      <c r="C80" s="29">
        <v>13.49</v>
      </c>
    </row>
    <row r="81" spans="1:3" ht="15" customHeight="1" x14ac:dyDescent="0.2">
      <c r="A81" s="8" t="s">
        <v>529</v>
      </c>
      <c r="B81" s="8" t="s">
        <v>501</v>
      </c>
      <c r="C81" s="29">
        <v>9.26</v>
      </c>
    </row>
    <row r="82" spans="1:3" ht="15" customHeight="1" x14ac:dyDescent="0.2">
      <c r="A82" s="8" t="s">
        <v>529</v>
      </c>
      <c r="B82" s="8" t="s">
        <v>502</v>
      </c>
      <c r="C82" s="29">
        <v>8.43</v>
      </c>
    </row>
    <row r="83" spans="1:3" ht="15" customHeight="1" x14ac:dyDescent="0.2">
      <c r="A83" s="8" t="s">
        <v>530</v>
      </c>
      <c r="B83" s="8" t="s">
        <v>500</v>
      </c>
      <c r="C83" s="29">
        <v>14.93</v>
      </c>
    </row>
    <row r="84" spans="1:3" ht="15" customHeight="1" x14ac:dyDescent="0.2">
      <c r="A84" s="8" t="s">
        <v>530</v>
      </c>
      <c r="B84" s="8" t="s">
        <v>501</v>
      </c>
      <c r="C84" s="29">
        <v>10.24</v>
      </c>
    </row>
    <row r="85" spans="1:3" ht="15" customHeight="1" x14ac:dyDescent="0.2">
      <c r="A85" s="8" t="s">
        <v>530</v>
      </c>
      <c r="B85" s="8" t="s">
        <v>502</v>
      </c>
      <c r="C85" s="29">
        <v>9.33</v>
      </c>
    </row>
    <row r="86" spans="1:3" ht="15" customHeight="1" x14ac:dyDescent="0.2">
      <c r="A86" s="8" t="s">
        <v>531</v>
      </c>
      <c r="B86" s="8" t="s">
        <v>500</v>
      </c>
      <c r="C86" s="29">
        <v>9.44</v>
      </c>
    </row>
    <row r="87" spans="1:3" ht="15" customHeight="1" x14ac:dyDescent="0.2">
      <c r="A87" s="8" t="s">
        <v>531</v>
      </c>
      <c r="B87" s="8" t="s">
        <v>501</v>
      </c>
      <c r="C87" s="29">
        <v>6.47</v>
      </c>
    </row>
    <row r="88" spans="1:3" ht="15" customHeight="1" x14ac:dyDescent="0.2">
      <c r="A88" s="8" t="s">
        <v>531</v>
      </c>
      <c r="B88" s="8" t="s">
        <v>502</v>
      </c>
      <c r="C88" s="29">
        <v>5.9</v>
      </c>
    </row>
    <row r="89" spans="1:3" ht="15" customHeight="1" x14ac:dyDescent="0.2">
      <c r="A89" s="8" t="s">
        <v>532</v>
      </c>
      <c r="B89" s="8" t="s">
        <v>500</v>
      </c>
      <c r="C89" s="29">
        <v>10.23</v>
      </c>
    </row>
    <row r="90" spans="1:3" ht="15" customHeight="1" x14ac:dyDescent="0.2">
      <c r="A90" s="8" t="s">
        <v>532</v>
      </c>
      <c r="B90" s="8" t="s">
        <v>501</v>
      </c>
      <c r="C90" s="29">
        <v>7.01</v>
      </c>
    </row>
    <row r="91" spans="1:3" ht="15" customHeight="1" x14ac:dyDescent="0.2">
      <c r="A91" s="8" t="s">
        <v>532</v>
      </c>
      <c r="B91" s="8" t="s">
        <v>502</v>
      </c>
      <c r="C91" s="29">
        <v>6.39</v>
      </c>
    </row>
    <row r="92" spans="1:3" ht="15" customHeight="1" x14ac:dyDescent="0.2">
      <c r="A92" s="8" t="s">
        <v>533</v>
      </c>
      <c r="B92" s="8" t="s">
        <v>500</v>
      </c>
      <c r="C92" s="29">
        <v>10.23</v>
      </c>
    </row>
    <row r="93" spans="1:3" ht="15" customHeight="1" x14ac:dyDescent="0.2">
      <c r="A93" s="8" t="s">
        <v>533</v>
      </c>
      <c r="B93" s="8" t="s">
        <v>501</v>
      </c>
      <c r="C93" s="29">
        <v>7.01</v>
      </c>
    </row>
    <row r="94" spans="1:3" ht="15" customHeight="1" x14ac:dyDescent="0.2">
      <c r="A94" s="8" t="s">
        <v>533</v>
      </c>
      <c r="B94" s="8" t="s">
        <v>502</v>
      </c>
      <c r="C94" s="29">
        <v>6.39</v>
      </c>
    </row>
    <row r="95" spans="1:3" ht="15" customHeight="1" x14ac:dyDescent="0.2">
      <c r="A95" s="8" t="s">
        <v>534</v>
      </c>
      <c r="B95" s="8" t="s">
        <v>500</v>
      </c>
      <c r="C95" s="29">
        <v>11.25</v>
      </c>
    </row>
    <row r="96" spans="1:3" ht="15" customHeight="1" x14ac:dyDescent="0.2">
      <c r="A96" s="8" t="s">
        <v>534</v>
      </c>
      <c r="B96" s="8" t="s">
        <v>501</v>
      </c>
      <c r="C96" s="29">
        <v>7.72</v>
      </c>
    </row>
    <row r="97" spans="1:3" ht="15" customHeight="1" x14ac:dyDescent="0.2">
      <c r="A97" s="8" t="s">
        <v>534</v>
      </c>
      <c r="B97" s="8" t="s">
        <v>502</v>
      </c>
      <c r="C97" s="29">
        <v>7.03</v>
      </c>
    </row>
    <row r="98" spans="1:3" ht="15" customHeight="1" x14ac:dyDescent="0.2">
      <c r="A98" s="8" t="s">
        <v>535</v>
      </c>
      <c r="B98" s="8" t="s">
        <v>500</v>
      </c>
      <c r="C98" s="29">
        <v>11.25</v>
      </c>
    </row>
    <row r="99" spans="1:3" ht="15" customHeight="1" x14ac:dyDescent="0.2">
      <c r="A99" s="8" t="s">
        <v>535</v>
      </c>
      <c r="B99" s="8" t="s">
        <v>501</v>
      </c>
      <c r="C99" s="29">
        <v>7.72</v>
      </c>
    </row>
    <row r="100" spans="1:3" ht="15" customHeight="1" x14ac:dyDescent="0.2">
      <c r="A100" s="8" t="s">
        <v>535</v>
      </c>
      <c r="B100" s="8" t="s">
        <v>502</v>
      </c>
      <c r="C100" s="29">
        <v>7.03</v>
      </c>
    </row>
    <row r="101" spans="1:3" ht="15" customHeight="1" x14ac:dyDescent="0.2">
      <c r="A101" s="8" t="s">
        <v>536</v>
      </c>
      <c r="B101" s="8" t="s">
        <v>500</v>
      </c>
      <c r="C101" s="29">
        <v>9.83</v>
      </c>
    </row>
    <row r="102" spans="1:3" ht="15" customHeight="1" x14ac:dyDescent="0.2">
      <c r="A102" s="8" t="s">
        <v>536</v>
      </c>
      <c r="B102" s="8" t="s">
        <v>501</v>
      </c>
      <c r="C102" s="29">
        <v>6.74</v>
      </c>
    </row>
    <row r="103" spans="1:3" ht="15" customHeight="1" x14ac:dyDescent="0.2">
      <c r="A103" s="8" t="s">
        <v>536</v>
      </c>
      <c r="B103" s="8" t="s">
        <v>502</v>
      </c>
      <c r="C103" s="29">
        <v>6.14</v>
      </c>
    </row>
    <row r="104" spans="1:3" ht="15" customHeight="1" x14ac:dyDescent="0.2">
      <c r="A104" s="8" t="s">
        <v>537</v>
      </c>
      <c r="B104" s="8" t="s">
        <v>500</v>
      </c>
      <c r="C104" s="29">
        <v>9.83</v>
      </c>
    </row>
    <row r="105" spans="1:3" ht="15" customHeight="1" x14ac:dyDescent="0.2">
      <c r="A105" s="8" t="s">
        <v>537</v>
      </c>
      <c r="B105" s="8" t="s">
        <v>501</v>
      </c>
      <c r="C105" s="29">
        <v>6.74</v>
      </c>
    </row>
    <row r="106" spans="1:3" ht="15" customHeight="1" x14ac:dyDescent="0.2">
      <c r="A106" s="8" t="s">
        <v>537</v>
      </c>
      <c r="B106" s="8" t="s">
        <v>502</v>
      </c>
      <c r="C106" s="29">
        <v>6.14</v>
      </c>
    </row>
    <row r="107" spans="1:3" ht="15" customHeight="1" x14ac:dyDescent="0.2">
      <c r="A107" s="8" t="s">
        <v>538</v>
      </c>
      <c r="B107" s="8" t="s">
        <v>500</v>
      </c>
      <c r="C107" s="29">
        <v>9.44</v>
      </c>
    </row>
    <row r="108" spans="1:3" ht="15" customHeight="1" x14ac:dyDescent="0.2">
      <c r="A108" s="8" t="s">
        <v>538</v>
      </c>
      <c r="B108" s="8" t="s">
        <v>501</v>
      </c>
      <c r="C108" s="29">
        <v>6.47</v>
      </c>
    </row>
    <row r="109" spans="1:3" ht="15" customHeight="1" x14ac:dyDescent="0.2">
      <c r="A109" s="8" t="s">
        <v>538</v>
      </c>
      <c r="B109" s="8" t="s">
        <v>502</v>
      </c>
      <c r="C109" s="29">
        <v>5.9</v>
      </c>
    </row>
    <row r="110" spans="1:3" ht="15" customHeight="1" x14ac:dyDescent="0.2">
      <c r="A110" s="8" t="s">
        <v>539</v>
      </c>
      <c r="B110" s="8" t="s">
        <v>500</v>
      </c>
      <c r="C110" s="29">
        <v>10.23</v>
      </c>
    </row>
    <row r="111" spans="1:3" ht="15" customHeight="1" x14ac:dyDescent="0.2">
      <c r="A111" s="8" t="s">
        <v>539</v>
      </c>
      <c r="B111" s="8" t="s">
        <v>501</v>
      </c>
      <c r="C111" s="29">
        <v>7.01</v>
      </c>
    </row>
    <row r="112" spans="1:3" ht="15" customHeight="1" x14ac:dyDescent="0.2">
      <c r="A112" s="8" t="s">
        <v>539</v>
      </c>
      <c r="B112" s="8" t="s">
        <v>502</v>
      </c>
      <c r="C112" s="29">
        <v>6.39</v>
      </c>
    </row>
    <row r="113" spans="1:3" ht="15" customHeight="1" x14ac:dyDescent="0.2">
      <c r="A113" s="8" t="s">
        <v>540</v>
      </c>
      <c r="B113" s="8" t="s">
        <v>500</v>
      </c>
      <c r="C113" s="29">
        <v>10.23</v>
      </c>
    </row>
    <row r="114" spans="1:3" ht="15" customHeight="1" x14ac:dyDescent="0.2">
      <c r="A114" s="8" t="s">
        <v>540</v>
      </c>
      <c r="B114" s="8" t="s">
        <v>501</v>
      </c>
      <c r="C114" s="29">
        <v>7.01</v>
      </c>
    </row>
    <row r="115" spans="1:3" ht="15" customHeight="1" x14ac:dyDescent="0.2">
      <c r="A115" s="8" t="s">
        <v>540</v>
      </c>
      <c r="B115" s="8" t="s">
        <v>502</v>
      </c>
      <c r="C115" s="29">
        <v>6.39</v>
      </c>
    </row>
    <row r="116" spans="1:3" ht="15" customHeight="1" x14ac:dyDescent="0.2">
      <c r="A116" s="8" t="s">
        <v>541</v>
      </c>
      <c r="B116" s="8" t="s">
        <v>500</v>
      </c>
      <c r="C116" s="29">
        <v>7.87</v>
      </c>
    </row>
    <row r="117" spans="1:3" ht="15" customHeight="1" x14ac:dyDescent="0.2">
      <c r="A117" s="8" t="s">
        <v>541</v>
      </c>
      <c r="B117" s="8" t="s">
        <v>501</v>
      </c>
      <c r="C117" s="29">
        <v>5.4</v>
      </c>
    </row>
    <row r="118" spans="1:3" ht="15" customHeight="1" x14ac:dyDescent="0.2">
      <c r="A118" s="8" t="s">
        <v>541</v>
      </c>
      <c r="B118" s="8" t="s">
        <v>502</v>
      </c>
      <c r="C118" s="29">
        <v>4.92</v>
      </c>
    </row>
    <row r="119" spans="1:3" ht="15" customHeight="1" x14ac:dyDescent="0.2">
      <c r="A119" s="8" t="s">
        <v>542</v>
      </c>
      <c r="B119" s="8" t="s">
        <v>500</v>
      </c>
      <c r="C119" s="29">
        <v>7.87</v>
      </c>
    </row>
    <row r="120" spans="1:3" ht="15" customHeight="1" x14ac:dyDescent="0.2">
      <c r="A120" s="8" t="s">
        <v>542</v>
      </c>
      <c r="B120" s="8" t="s">
        <v>501</v>
      </c>
      <c r="C120" s="29">
        <v>5.4</v>
      </c>
    </row>
    <row r="121" spans="1:3" ht="15" customHeight="1" x14ac:dyDescent="0.2">
      <c r="A121" s="8" t="s">
        <v>542</v>
      </c>
      <c r="B121" s="8" t="s">
        <v>502</v>
      </c>
      <c r="C121" s="29">
        <v>4.92</v>
      </c>
    </row>
    <row r="122" spans="1:3" ht="15" customHeight="1" x14ac:dyDescent="0.2">
      <c r="A122" s="8" t="s">
        <v>519</v>
      </c>
      <c r="B122" s="8" t="s">
        <v>503</v>
      </c>
      <c r="C122" s="29">
        <v>3.29</v>
      </c>
    </row>
    <row r="123" spans="1:3" ht="15" customHeight="1" x14ac:dyDescent="0.2">
      <c r="A123" s="8" t="s">
        <v>520</v>
      </c>
      <c r="B123" s="8" t="s">
        <v>503</v>
      </c>
      <c r="C123" s="29">
        <v>2.73</v>
      </c>
    </row>
    <row r="124" spans="1:3" ht="15" customHeight="1" x14ac:dyDescent="0.2">
      <c r="A124" s="8" t="s">
        <v>521</v>
      </c>
      <c r="B124" s="8" t="s">
        <v>503</v>
      </c>
      <c r="C124" s="29">
        <v>2.79</v>
      </c>
    </row>
    <row r="125" spans="1:3" ht="15" customHeight="1" x14ac:dyDescent="0.2">
      <c r="A125" s="8" t="s">
        <v>522</v>
      </c>
      <c r="B125" s="8" t="s">
        <v>503</v>
      </c>
      <c r="C125" s="29">
        <v>2.27</v>
      </c>
    </row>
    <row r="126" spans="1:3" ht="15" customHeight="1" x14ac:dyDescent="0.2">
      <c r="A126" s="8" t="s">
        <v>523</v>
      </c>
      <c r="B126" s="8" t="s">
        <v>503</v>
      </c>
      <c r="C126" s="29">
        <v>2.27</v>
      </c>
    </row>
    <row r="127" spans="1:3" ht="15" customHeight="1" x14ac:dyDescent="0.2">
      <c r="A127" s="8" t="s">
        <v>524</v>
      </c>
      <c r="B127" s="8" t="s">
        <v>503</v>
      </c>
      <c r="C127" s="29">
        <v>3.29</v>
      </c>
    </row>
    <row r="128" spans="1:3" ht="15" customHeight="1" x14ac:dyDescent="0.2">
      <c r="A128" s="8" t="s">
        <v>525</v>
      </c>
      <c r="B128" s="8" t="s">
        <v>503</v>
      </c>
      <c r="C128" s="29">
        <v>3.52</v>
      </c>
    </row>
    <row r="129" spans="1:3" ht="15" customHeight="1" x14ac:dyDescent="0.2">
      <c r="A129" s="8" t="s">
        <v>526</v>
      </c>
      <c r="B129" s="8" t="s">
        <v>503</v>
      </c>
      <c r="C129" s="29">
        <v>3.07</v>
      </c>
    </row>
    <row r="130" spans="1:3" ht="15" customHeight="1" x14ac:dyDescent="0.2">
      <c r="A130" s="8" t="s">
        <v>527</v>
      </c>
      <c r="B130" s="8" t="s">
        <v>503</v>
      </c>
      <c r="C130" s="29">
        <v>2.73</v>
      </c>
    </row>
    <row r="131" spans="1:3" ht="15" customHeight="1" x14ac:dyDescent="0.2">
      <c r="A131" s="8" t="s">
        <v>528</v>
      </c>
      <c r="B131" s="8" t="s">
        <v>503</v>
      </c>
      <c r="C131" s="29">
        <v>2.95</v>
      </c>
    </row>
    <row r="132" spans="1:3" ht="15" customHeight="1" x14ac:dyDescent="0.2">
      <c r="A132" s="8" t="s">
        <v>529</v>
      </c>
      <c r="B132" s="8" t="s">
        <v>503</v>
      </c>
      <c r="C132" s="29">
        <v>3.9</v>
      </c>
    </row>
    <row r="133" spans="1:3" ht="15" customHeight="1" x14ac:dyDescent="0.2">
      <c r="A133" s="8" t="s">
        <v>530</v>
      </c>
      <c r="B133" s="8" t="s">
        <v>503</v>
      </c>
      <c r="C133" s="29">
        <v>4.3099999999999996</v>
      </c>
    </row>
    <row r="134" spans="1:3" ht="15" customHeight="1" x14ac:dyDescent="0.2">
      <c r="A134" s="8" t="s">
        <v>531</v>
      </c>
      <c r="B134" s="8" t="s">
        <v>503</v>
      </c>
      <c r="C134" s="29">
        <v>2.73</v>
      </c>
    </row>
    <row r="135" spans="1:3" ht="15" customHeight="1" x14ac:dyDescent="0.2">
      <c r="A135" s="8" t="s">
        <v>532</v>
      </c>
      <c r="B135" s="8" t="s">
        <v>503</v>
      </c>
      <c r="C135" s="29">
        <v>2.95</v>
      </c>
    </row>
    <row r="136" spans="1:3" ht="15" customHeight="1" x14ac:dyDescent="0.2">
      <c r="A136" s="8" t="s">
        <v>533</v>
      </c>
      <c r="B136" s="8" t="s">
        <v>503</v>
      </c>
      <c r="C136" s="29">
        <v>2.95</v>
      </c>
    </row>
    <row r="137" spans="1:3" ht="15" customHeight="1" x14ac:dyDescent="0.2">
      <c r="A137" s="8" t="s">
        <v>534</v>
      </c>
      <c r="B137" s="8" t="s">
        <v>503</v>
      </c>
      <c r="C137" s="29">
        <v>3.25</v>
      </c>
    </row>
    <row r="138" spans="1:3" ht="15" customHeight="1" x14ac:dyDescent="0.2">
      <c r="A138" s="8" t="s">
        <v>535</v>
      </c>
      <c r="B138" s="8" t="s">
        <v>503</v>
      </c>
      <c r="C138" s="29">
        <v>3.25</v>
      </c>
    </row>
    <row r="139" spans="1:3" ht="15" customHeight="1" x14ac:dyDescent="0.2">
      <c r="A139" s="8" t="s">
        <v>536</v>
      </c>
      <c r="B139" s="8" t="s">
        <v>503</v>
      </c>
      <c r="C139" s="29">
        <v>2.84</v>
      </c>
    </row>
    <row r="140" spans="1:3" ht="15" customHeight="1" x14ac:dyDescent="0.2">
      <c r="A140" s="8" t="s">
        <v>537</v>
      </c>
      <c r="B140" s="8" t="s">
        <v>503</v>
      </c>
      <c r="C140" s="29">
        <v>2.84</v>
      </c>
    </row>
    <row r="141" spans="1:3" ht="15" customHeight="1" x14ac:dyDescent="0.2">
      <c r="A141" s="8" t="s">
        <v>538</v>
      </c>
      <c r="B141" s="8" t="s">
        <v>503</v>
      </c>
      <c r="C141" s="29">
        <v>2.73</v>
      </c>
    </row>
    <row r="142" spans="1:3" ht="15" customHeight="1" x14ac:dyDescent="0.2">
      <c r="A142" s="8" t="s">
        <v>539</v>
      </c>
      <c r="B142" s="8" t="s">
        <v>503</v>
      </c>
      <c r="C142" s="29">
        <v>2.95</v>
      </c>
    </row>
    <row r="143" spans="1:3" ht="15" customHeight="1" x14ac:dyDescent="0.2">
      <c r="A143" s="8" t="s">
        <v>540</v>
      </c>
      <c r="B143" s="8" t="s">
        <v>503</v>
      </c>
      <c r="C143" s="29">
        <v>3.05</v>
      </c>
    </row>
    <row r="144" spans="1:3" ht="15" customHeight="1" x14ac:dyDescent="0.2">
      <c r="A144" s="8" t="s">
        <v>541</v>
      </c>
      <c r="B144" s="8" t="s">
        <v>503</v>
      </c>
      <c r="C144" s="29">
        <v>2.27</v>
      </c>
    </row>
    <row r="145" spans="1:3" ht="15" customHeight="1" x14ac:dyDescent="0.2">
      <c r="A145" s="8" t="s">
        <v>542</v>
      </c>
      <c r="B145" s="8" t="s">
        <v>503</v>
      </c>
      <c r="C145" s="29">
        <v>2.27</v>
      </c>
    </row>
    <row r="147" spans="1:3" ht="15" customHeight="1" x14ac:dyDescent="0.2">
      <c r="A147" s="5" t="s">
        <v>543</v>
      </c>
    </row>
  </sheetData>
  <sheetProtection sheet="1" objects="1" scenarios="1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F1303"/>
  <sheetViews>
    <sheetView showGridLines="0" zoomScale="85" zoomScaleNormal="85" workbookViewId="0">
      <pane ySplit="6" topLeftCell="A7" activePane="bottomLeft" state="frozen"/>
      <selection activeCell="R16" sqref="R16"/>
      <selection pane="bottomLeft" activeCell="E3" sqref="E3"/>
    </sheetView>
  </sheetViews>
  <sheetFormatPr baseColWidth="10" defaultColWidth="8.6640625" defaultRowHeight="15" x14ac:dyDescent="0.2"/>
  <cols>
    <col min="1" max="1" width="16" customWidth="1"/>
    <col min="2" max="2" width="8" customWidth="1"/>
    <col min="3" max="3" width="34" customWidth="1"/>
    <col min="4" max="5" width="10" customWidth="1"/>
    <col min="6" max="6" width="13" customWidth="1"/>
  </cols>
  <sheetData>
    <row r="1" spans="1:6" ht="17.25" customHeight="1" x14ac:dyDescent="0.2">
      <c r="A1" s="1" t="s">
        <v>544</v>
      </c>
      <c r="C1" s="2" t="str">
        <f>IF(Checks!$C$4&gt;0,"MODEL IN ERROR","checks OK")</f>
        <v>checks OK</v>
      </c>
    </row>
    <row r="2" spans="1:6" ht="15" customHeight="1" x14ac:dyDescent="0.2">
      <c r="A2" s="5" t="s">
        <v>545</v>
      </c>
    </row>
    <row r="3" spans="1:6" ht="15" customHeight="1" x14ac:dyDescent="0.2">
      <c r="A3" s="22" t="s">
        <v>546</v>
      </c>
      <c r="C3" s="28">
        <f>MEDIAN(QueueTable[Duration (yr)])</f>
        <v>4.5</v>
      </c>
      <c r="E3" s="22" t="s">
        <v>547</v>
      </c>
    </row>
    <row r="4" spans="1:6" ht="15" customHeight="1" x14ac:dyDescent="0.2">
      <c r="A4" s="22" t="s">
        <v>548</v>
      </c>
      <c r="C4" s="28">
        <f>PERCENTILE(QueueTable[Duration (yr)],0.75)</f>
        <v>5.83</v>
      </c>
      <c r="E4" s="22" t="s">
        <v>549</v>
      </c>
      <c r="F4" s="28">
        <f>C4/C3</f>
        <v>1.2955555555555556</v>
      </c>
    </row>
    <row r="5" spans="1:6" ht="15" customHeight="1" x14ac:dyDescent="0.2">
      <c r="A5" s="22" t="s">
        <v>550</v>
      </c>
      <c r="C5" s="28">
        <f>PERCENTILE(QueueTable[Duration (yr)],0.25)</f>
        <v>3.17</v>
      </c>
      <c r="E5" s="22" t="s">
        <v>551</v>
      </c>
      <c r="F5" s="28">
        <f>C5/C3</f>
        <v>0.70444444444444443</v>
      </c>
    </row>
    <row r="6" spans="1:6" ht="15" customHeight="1" x14ac:dyDescent="0.2">
      <c r="A6" s="11" t="s">
        <v>552</v>
      </c>
      <c r="B6" s="11" t="s">
        <v>553</v>
      </c>
      <c r="C6" s="11" t="s">
        <v>554</v>
      </c>
      <c r="D6" s="11" t="s">
        <v>555</v>
      </c>
      <c r="E6" s="11" t="s">
        <v>556</v>
      </c>
      <c r="F6" s="11" t="s">
        <v>557</v>
      </c>
    </row>
    <row r="7" spans="1:6" ht="15" customHeight="1" x14ac:dyDescent="0.2">
      <c r="A7" s="8" t="s">
        <v>558</v>
      </c>
      <c r="B7" s="8" t="s">
        <v>559</v>
      </c>
      <c r="C7" s="8" t="s">
        <v>560</v>
      </c>
      <c r="D7" s="29">
        <v>2014.2</v>
      </c>
      <c r="E7" s="29">
        <v>2022.2</v>
      </c>
      <c r="F7" s="29">
        <v>8</v>
      </c>
    </row>
    <row r="8" spans="1:6" ht="15" customHeight="1" x14ac:dyDescent="0.2">
      <c r="A8" s="8" t="s">
        <v>561</v>
      </c>
      <c r="B8" s="8" t="s">
        <v>559</v>
      </c>
      <c r="C8" s="8" t="s">
        <v>562</v>
      </c>
      <c r="D8" s="29">
        <v>2014.2</v>
      </c>
      <c r="E8" s="29">
        <v>2019.2</v>
      </c>
      <c r="F8" s="29">
        <v>5</v>
      </c>
    </row>
    <row r="9" spans="1:6" ht="15" customHeight="1" x14ac:dyDescent="0.2">
      <c r="A9" s="8" t="s">
        <v>563</v>
      </c>
      <c r="B9" s="8" t="s">
        <v>559</v>
      </c>
      <c r="C9" s="8" t="s">
        <v>564</v>
      </c>
      <c r="D9" s="29">
        <v>2014.2</v>
      </c>
      <c r="E9" s="29">
        <v>2023.7</v>
      </c>
      <c r="F9" s="29">
        <v>9.42</v>
      </c>
    </row>
    <row r="10" spans="1:6" ht="15" customHeight="1" x14ac:dyDescent="0.2">
      <c r="A10" s="8" t="s">
        <v>565</v>
      </c>
      <c r="B10" s="8" t="s">
        <v>559</v>
      </c>
      <c r="C10" s="8" t="s">
        <v>566</v>
      </c>
      <c r="D10" s="29">
        <v>2014.2</v>
      </c>
      <c r="E10" s="29">
        <v>2020.8</v>
      </c>
      <c r="F10" s="29">
        <v>6.58</v>
      </c>
    </row>
    <row r="11" spans="1:6" ht="15" customHeight="1" x14ac:dyDescent="0.2">
      <c r="A11" s="8" t="s">
        <v>567</v>
      </c>
      <c r="B11" s="8" t="s">
        <v>568</v>
      </c>
      <c r="C11" s="8" t="s">
        <v>566</v>
      </c>
      <c r="D11" s="29">
        <v>2014.2</v>
      </c>
      <c r="E11" s="29">
        <v>2019.8</v>
      </c>
      <c r="F11" s="29">
        <v>5.5</v>
      </c>
    </row>
    <row r="12" spans="1:6" ht="15" customHeight="1" x14ac:dyDescent="0.2">
      <c r="A12" s="8" t="s">
        <v>569</v>
      </c>
      <c r="B12" s="8" t="s">
        <v>559</v>
      </c>
      <c r="C12" s="8" t="s">
        <v>564</v>
      </c>
      <c r="D12" s="29">
        <v>2015.2</v>
      </c>
      <c r="E12" s="29">
        <v>2024.5</v>
      </c>
      <c r="F12" s="29">
        <v>9.25</v>
      </c>
    </row>
    <row r="13" spans="1:6" ht="15" customHeight="1" x14ac:dyDescent="0.2">
      <c r="A13" s="8" t="s">
        <v>570</v>
      </c>
      <c r="B13" s="8" t="s">
        <v>559</v>
      </c>
      <c r="C13" s="8" t="s">
        <v>566</v>
      </c>
      <c r="D13" s="29">
        <v>2015.2</v>
      </c>
      <c r="E13" s="29">
        <v>2021.1</v>
      </c>
      <c r="F13" s="29">
        <v>5.83</v>
      </c>
    </row>
    <row r="14" spans="1:6" ht="15" customHeight="1" x14ac:dyDescent="0.2">
      <c r="A14" s="8" t="s">
        <v>571</v>
      </c>
      <c r="B14" s="8" t="s">
        <v>559</v>
      </c>
      <c r="C14" s="8" t="s">
        <v>564</v>
      </c>
      <c r="D14" s="29">
        <v>2015.2</v>
      </c>
      <c r="E14" s="29">
        <v>2023.6</v>
      </c>
      <c r="F14" s="29">
        <v>8.33</v>
      </c>
    </row>
    <row r="15" spans="1:6" ht="15" customHeight="1" x14ac:dyDescent="0.2">
      <c r="A15" s="8" t="s">
        <v>572</v>
      </c>
      <c r="B15" s="8" t="s">
        <v>559</v>
      </c>
      <c r="C15" s="8" t="s">
        <v>564</v>
      </c>
      <c r="D15" s="29">
        <v>2015.2</v>
      </c>
      <c r="E15" s="29">
        <v>2022.2</v>
      </c>
      <c r="F15" s="29">
        <v>6.92</v>
      </c>
    </row>
    <row r="16" spans="1:6" ht="15" customHeight="1" x14ac:dyDescent="0.2">
      <c r="A16" s="8" t="s">
        <v>573</v>
      </c>
      <c r="B16" s="8" t="s">
        <v>559</v>
      </c>
      <c r="C16" s="8" t="s">
        <v>566</v>
      </c>
      <c r="D16" s="29">
        <v>2015.2</v>
      </c>
      <c r="E16" s="29">
        <v>2021.9</v>
      </c>
      <c r="F16" s="29">
        <v>6.67</v>
      </c>
    </row>
    <row r="17" spans="1:6" ht="15" customHeight="1" x14ac:dyDescent="0.2">
      <c r="A17" s="8" t="s">
        <v>574</v>
      </c>
      <c r="B17" s="8" t="s">
        <v>559</v>
      </c>
      <c r="C17" s="8" t="s">
        <v>566</v>
      </c>
      <c r="D17" s="29">
        <v>2015.2</v>
      </c>
      <c r="E17" s="29">
        <v>2023.7</v>
      </c>
      <c r="F17" s="29">
        <v>8.42</v>
      </c>
    </row>
    <row r="18" spans="1:6" ht="15" customHeight="1" x14ac:dyDescent="0.2">
      <c r="A18" s="8" t="s">
        <v>575</v>
      </c>
      <c r="B18" s="8" t="s">
        <v>559</v>
      </c>
      <c r="C18" s="8" t="s">
        <v>564</v>
      </c>
      <c r="D18" s="29">
        <v>2015.2</v>
      </c>
      <c r="E18" s="29">
        <v>2025.2</v>
      </c>
      <c r="F18" s="29">
        <v>10</v>
      </c>
    </row>
    <row r="19" spans="1:6" ht="15" customHeight="1" x14ac:dyDescent="0.2">
      <c r="A19" s="8" t="s">
        <v>576</v>
      </c>
      <c r="B19" s="8" t="s">
        <v>568</v>
      </c>
      <c r="C19" s="8" t="s">
        <v>566</v>
      </c>
      <c r="D19" s="29">
        <v>2015.2</v>
      </c>
      <c r="E19" s="29">
        <v>2021.4</v>
      </c>
      <c r="F19" s="29">
        <v>6.17</v>
      </c>
    </row>
    <row r="20" spans="1:6" ht="15" customHeight="1" x14ac:dyDescent="0.2">
      <c r="A20" s="8" t="s">
        <v>577</v>
      </c>
      <c r="B20" s="8" t="s">
        <v>559</v>
      </c>
      <c r="C20" s="8" t="s">
        <v>560</v>
      </c>
      <c r="D20" s="29">
        <v>2006.6</v>
      </c>
      <c r="E20" s="29">
        <v>2021.2</v>
      </c>
      <c r="F20" s="29">
        <v>14.67</v>
      </c>
    </row>
    <row r="21" spans="1:6" ht="15" customHeight="1" x14ac:dyDescent="0.2">
      <c r="A21" s="8" t="s">
        <v>578</v>
      </c>
      <c r="B21" s="8" t="s">
        <v>559</v>
      </c>
      <c r="C21" s="8" t="s">
        <v>564</v>
      </c>
      <c r="D21" s="29">
        <v>2015.2</v>
      </c>
      <c r="E21" s="29">
        <v>2021.9</v>
      </c>
      <c r="F21" s="29">
        <v>6.67</v>
      </c>
    </row>
    <row r="22" spans="1:6" ht="15" customHeight="1" x14ac:dyDescent="0.2">
      <c r="A22" s="8" t="s">
        <v>579</v>
      </c>
      <c r="B22" s="8" t="s">
        <v>559</v>
      </c>
      <c r="C22" s="8" t="s">
        <v>564</v>
      </c>
      <c r="D22" s="29">
        <v>2015.2</v>
      </c>
      <c r="E22" s="29">
        <v>2022.8</v>
      </c>
      <c r="F22" s="29">
        <v>7.5</v>
      </c>
    </row>
    <row r="23" spans="1:6" ht="15" customHeight="1" x14ac:dyDescent="0.2">
      <c r="A23" s="8" t="s">
        <v>580</v>
      </c>
      <c r="B23" s="8" t="s">
        <v>559</v>
      </c>
      <c r="C23" s="8" t="s">
        <v>566</v>
      </c>
      <c r="D23" s="29">
        <v>2016.3</v>
      </c>
      <c r="E23" s="29">
        <v>2025.2</v>
      </c>
      <c r="F23" s="29">
        <v>8.92</v>
      </c>
    </row>
    <row r="24" spans="1:6" ht="15" customHeight="1" x14ac:dyDescent="0.2">
      <c r="A24" s="8" t="s">
        <v>581</v>
      </c>
      <c r="B24" s="8" t="s">
        <v>559</v>
      </c>
      <c r="C24" s="8" t="s">
        <v>564</v>
      </c>
      <c r="D24" s="29">
        <v>2016.3</v>
      </c>
      <c r="E24" s="29">
        <v>2023.9</v>
      </c>
      <c r="F24" s="29">
        <v>7.58</v>
      </c>
    </row>
    <row r="25" spans="1:6" ht="15" customHeight="1" x14ac:dyDescent="0.2">
      <c r="A25" s="8" t="s">
        <v>582</v>
      </c>
      <c r="B25" s="8" t="s">
        <v>559</v>
      </c>
      <c r="C25" s="8" t="s">
        <v>564</v>
      </c>
      <c r="D25" s="29">
        <v>2016.3</v>
      </c>
      <c r="E25" s="29">
        <v>2024.2</v>
      </c>
      <c r="F25" s="29">
        <v>7.92</v>
      </c>
    </row>
    <row r="26" spans="1:6" ht="15" customHeight="1" x14ac:dyDescent="0.2">
      <c r="A26" s="8" t="s">
        <v>583</v>
      </c>
      <c r="B26" s="8" t="s">
        <v>559</v>
      </c>
      <c r="C26" s="8" t="s">
        <v>564</v>
      </c>
      <c r="D26" s="29">
        <v>2016.3</v>
      </c>
      <c r="E26" s="29">
        <v>2025.7</v>
      </c>
      <c r="F26" s="29">
        <v>9.33</v>
      </c>
    </row>
    <row r="27" spans="1:6" ht="15" customHeight="1" x14ac:dyDescent="0.2">
      <c r="A27" s="8" t="s">
        <v>584</v>
      </c>
      <c r="B27" s="8" t="s">
        <v>559</v>
      </c>
      <c r="C27" s="8" t="s">
        <v>564</v>
      </c>
      <c r="D27" s="29">
        <v>2016.3</v>
      </c>
      <c r="E27" s="29">
        <v>2024.7</v>
      </c>
      <c r="F27" s="29">
        <v>8.33</v>
      </c>
    </row>
    <row r="28" spans="1:6" ht="15" customHeight="1" x14ac:dyDescent="0.2">
      <c r="A28" s="8" t="s">
        <v>585</v>
      </c>
      <c r="B28" s="8" t="s">
        <v>559</v>
      </c>
      <c r="C28" s="8" t="s">
        <v>564</v>
      </c>
      <c r="D28" s="29">
        <v>2017.3</v>
      </c>
      <c r="E28" s="29">
        <v>2024.5</v>
      </c>
      <c r="F28" s="29">
        <v>7.17</v>
      </c>
    </row>
    <row r="29" spans="1:6" ht="15" customHeight="1" x14ac:dyDescent="0.2">
      <c r="A29" s="8" t="s">
        <v>586</v>
      </c>
      <c r="B29" s="8" t="s">
        <v>559</v>
      </c>
      <c r="C29" s="8" t="s">
        <v>564</v>
      </c>
      <c r="D29" s="29">
        <v>2017.3</v>
      </c>
      <c r="E29" s="29">
        <v>2022.2</v>
      </c>
      <c r="F29" s="29">
        <v>4.92</v>
      </c>
    </row>
    <row r="30" spans="1:6" ht="15" customHeight="1" x14ac:dyDescent="0.2">
      <c r="A30" s="8" t="s">
        <v>587</v>
      </c>
      <c r="B30" s="8" t="s">
        <v>559</v>
      </c>
      <c r="C30" s="8" t="s">
        <v>566</v>
      </c>
      <c r="D30" s="29">
        <v>2017.3</v>
      </c>
      <c r="E30" s="29">
        <v>2024.8</v>
      </c>
      <c r="F30" s="29">
        <v>7.5</v>
      </c>
    </row>
    <row r="31" spans="1:6" ht="15" customHeight="1" x14ac:dyDescent="0.2">
      <c r="A31" s="8" t="s">
        <v>588</v>
      </c>
      <c r="B31" s="8" t="s">
        <v>559</v>
      </c>
      <c r="C31" s="8" t="s">
        <v>562</v>
      </c>
      <c r="D31" s="29">
        <v>2017.3</v>
      </c>
      <c r="E31" s="29">
        <v>2019.8</v>
      </c>
      <c r="F31" s="29">
        <v>2.42</v>
      </c>
    </row>
    <row r="32" spans="1:6" ht="15" customHeight="1" x14ac:dyDescent="0.2">
      <c r="A32" s="8" t="s">
        <v>589</v>
      </c>
      <c r="B32" s="8" t="s">
        <v>559</v>
      </c>
      <c r="C32" s="8" t="s">
        <v>564</v>
      </c>
      <c r="D32" s="29">
        <v>2017.3</v>
      </c>
      <c r="E32" s="29">
        <v>2021.4</v>
      </c>
      <c r="F32" s="29">
        <v>4.08</v>
      </c>
    </row>
    <row r="33" spans="1:6" ht="15" customHeight="1" x14ac:dyDescent="0.2">
      <c r="A33" s="8" t="s">
        <v>590</v>
      </c>
      <c r="B33" s="8" t="s">
        <v>559</v>
      </c>
      <c r="C33" s="8" t="s">
        <v>560</v>
      </c>
      <c r="D33" s="29">
        <v>2018.2</v>
      </c>
      <c r="E33" s="29">
        <v>2021.2</v>
      </c>
      <c r="F33" s="29">
        <v>2.92</v>
      </c>
    </row>
    <row r="34" spans="1:6" ht="15" customHeight="1" x14ac:dyDescent="0.2">
      <c r="A34" s="8" t="s">
        <v>591</v>
      </c>
      <c r="B34" s="8" t="s">
        <v>559</v>
      </c>
      <c r="C34" s="8" t="s">
        <v>560</v>
      </c>
      <c r="D34" s="29">
        <v>2018.2</v>
      </c>
      <c r="E34" s="29">
        <v>2021.2</v>
      </c>
      <c r="F34" s="29">
        <v>2.92</v>
      </c>
    </row>
    <row r="35" spans="1:6" ht="15" customHeight="1" x14ac:dyDescent="0.2">
      <c r="A35" s="8" t="s">
        <v>592</v>
      </c>
      <c r="B35" s="8" t="s">
        <v>559</v>
      </c>
      <c r="C35" s="8" t="s">
        <v>564</v>
      </c>
      <c r="D35" s="29">
        <v>2018.2</v>
      </c>
      <c r="E35" s="29">
        <v>2025.1</v>
      </c>
      <c r="F35" s="29">
        <v>6.83</v>
      </c>
    </row>
    <row r="36" spans="1:6" ht="15" customHeight="1" x14ac:dyDescent="0.2">
      <c r="A36" s="8" t="s">
        <v>593</v>
      </c>
      <c r="B36" s="8" t="s">
        <v>559</v>
      </c>
      <c r="C36" s="8" t="s">
        <v>564</v>
      </c>
      <c r="D36" s="29">
        <v>2018.2</v>
      </c>
      <c r="E36" s="29">
        <v>2021.5</v>
      </c>
      <c r="F36" s="29">
        <v>3.25</v>
      </c>
    </row>
    <row r="37" spans="1:6" ht="15" customHeight="1" x14ac:dyDescent="0.2">
      <c r="A37" s="8" t="s">
        <v>594</v>
      </c>
      <c r="B37" s="8" t="s">
        <v>559</v>
      </c>
      <c r="C37" s="8" t="s">
        <v>562</v>
      </c>
      <c r="D37" s="29">
        <v>2018.2</v>
      </c>
      <c r="E37" s="29">
        <v>2024.7</v>
      </c>
      <c r="F37" s="29">
        <v>6.42</v>
      </c>
    </row>
    <row r="38" spans="1:6" ht="15" customHeight="1" x14ac:dyDescent="0.2">
      <c r="A38" s="8" t="s">
        <v>595</v>
      </c>
      <c r="B38" s="8" t="s">
        <v>559</v>
      </c>
      <c r="C38" s="8" t="s">
        <v>564</v>
      </c>
      <c r="D38" s="29">
        <v>2018.2</v>
      </c>
      <c r="E38" s="29">
        <v>2025.5</v>
      </c>
      <c r="F38" s="29">
        <v>7.25</v>
      </c>
    </row>
    <row r="39" spans="1:6" ht="15" customHeight="1" x14ac:dyDescent="0.2">
      <c r="A39" s="8" t="s">
        <v>596</v>
      </c>
      <c r="B39" s="8" t="s">
        <v>559</v>
      </c>
      <c r="C39" s="8" t="s">
        <v>564</v>
      </c>
      <c r="D39" s="29">
        <v>2019.3</v>
      </c>
      <c r="E39" s="29">
        <v>2023.4</v>
      </c>
      <c r="F39" s="29">
        <v>4.08</v>
      </c>
    </row>
    <row r="40" spans="1:6" ht="15" customHeight="1" x14ac:dyDescent="0.2">
      <c r="A40" s="8" t="s">
        <v>597</v>
      </c>
      <c r="B40" s="8" t="s">
        <v>598</v>
      </c>
      <c r="C40" s="8" t="s">
        <v>560</v>
      </c>
      <c r="D40" s="29">
        <v>2006.9</v>
      </c>
      <c r="E40" s="29">
        <v>2022</v>
      </c>
      <c r="F40" s="29">
        <v>15.08</v>
      </c>
    </row>
    <row r="41" spans="1:6" ht="15" customHeight="1" x14ac:dyDescent="0.2">
      <c r="A41" s="8" t="s">
        <v>599</v>
      </c>
      <c r="B41" s="8" t="s">
        <v>559</v>
      </c>
      <c r="C41" s="8" t="s">
        <v>564</v>
      </c>
      <c r="D41" s="29">
        <v>2019.2</v>
      </c>
      <c r="E41" s="29">
        <v>2024.7</v>
      </c>
      <c r="F41" s="29">
        <v>5.42</v>
      </c>
    </row>
    <row r="42" spans="1:6" ht="15" customHeight="1" x14ac:dyDescent="0.2">
      <c r="A42" s="8" t="s">
        <v>600</v>
      </c>
      <c r="B42" s="8" t="s">
        <v>559</v>
      </c>
      <c r="C42" s="8" t="s">
        <v>564</v>
      </c>
      <c r="D42" s="29">
        <v>2019.2</v>
      </c>
      <c r="E42" s="29">
        <v>2025.7</v>
      </c>
      <c r="F42" s="29">
        <v>6.42</v>
      </c>
    </row>
    <row r="43" spans="1:6" ht="15" customHeight="1" x14ac:dyDescent="0.2">
      <c r="A43" s="8" t="s">
        <v>601</v>
      </c>
      <c r="B43" s="8" t="s">
        <v>559</v>
      </c>
      <c r="C43" s="8" t="s">
        <v>564</v>
      </c>
      <c r="D43" s="29">
        <v>2019.2</v>
      </c>
      <c r="E43" s="29">
        <v>2025.2</v>
      </c>
      <c r="F43" s="29">
        <v>6</v>
      </c>
    </row>
    <row r="44" spans="1:6" ht="15" customHeight="1" x14ac:dyDescent="0.2">
      <c r="A44" s="8" t="s">
        <v>602</v>
      </c>
      <c r="B44" s="8" t="s">
        <v>559</v>
      </c>
      <c r="C44" s="8" t="s">
        <v>564</v>
      </c>
      <c r="D44" s="29">
        <v>2019.2</v>
      </c>
      <c r="E44" s="29">
        <v>2021.9</v>
      </c>
      <c r="F44" s="29">
        <v>2.67</v>
      </c>
    </row>
    <row r="45" spans="1:6" ht="15" customHeight="1" x14ac:dyDescent="0.2">
      <c r="A45" s="8" t="s">
        <v>603</v>
      </c>
      <c r="B45" s="8" t="s">
        <v>559</v>
      </c>
      <c r="C45" s="8" t="s">
        <v>560</v>
      </c>
      <c r="D45" s="29">
        <v>2020.2</v>
      </c>
      <c r="E45" s="29">
        <v>2021.2</v>
      </c>
      <c r="F45" s="29">
        <v>0.92</v>
      </c>
    </row>
    <row r="46" spans="1:6" ht="15" customHeight="1" x14ac:dyDescent="0.2">
      <c r="A46" s="8" t="s">
        <v>604</v>
      </c>
      <c r="B46" s="8" t="s">
        <v>559</v>
      </c>
      <c r="C46" s="8" t="s">
        <v>566</v>
      </c>
      <c r="D46" s="29">
        <v>2020.3</v>
      </c>
      <c r="E46" s="29">
        <v>2021.6</v>
      </c>
      <c r="F46" s="29">
        <v>1.25</v>
      </c>
    </row>
    <row r="47" spans="1:6" ht="15" customHeight="1" x14ac:dyDescent="0.2">
      <c r="A47" s="8" t="s">
        <v>605</v>
      </c>
      <c r="B47" s="8" t="s">
        <v>559</v>
      </c>
      <c r="C47" s="8" t="s">
        <v>562</v>
      </c>
      <c r="D47" s="29">
        <v>2020.9</v>
      </c>
      <c r="E47" s="29">
        <v>2021.6</v>
      </c>
      <c r="F47" s="29">
        <v>0.67</v>
      </c>
    </row>
    <row r="48" spans="1:6" ht="15" customHeight="1" x14ac:dyDescent="0.2">
      <c r="A48" s="8" t="s">
        <v>606</v>
      </c>
      <c r="B48" s="8" t="s">
        <v>559</v>
      </c>
      <c r="C48" s="8" t="s">
        <v>562</v>
      </c>
      <c r="D48" s="29">
        <v>2021.2</v>
      </c>
      <c r="E48" s="29">
        <v>2022.3</v>
      </c>
      <c r="F48" s="29">
        <v>1.17</v>
      </c>
    </row>
    <row r="49" spans="1:6" ht="15" customHeight="1" x14ac:dyDescent="0.2">
      <c r="A49" s="8" t="s">
        <v>607</v>
      </c>
      <c r="B49" s="8" t="s">
        <v>559</v>
      </c>
      <c r="C49" s="8" t="s">
        <v>562</v>
      </c>
      <c r="D49" s="29">
        <v>2007.2</v>
      </c>
      <c r="E49" s="29">
        <v>2019.4</v>
      </c>
      <c r="F49" s="29">
        <v>12.25</v>
      </c>
    </row>
    <row r="50" spans="1:6" ht="15" customHeight="1" x14ac:dyDescent="0.2">
      <c r="A50" s="8" t="s">
        <v>608</v>
      </c>
      <c r="B50" s="8" t="s">
        <v>559</v>
      </c>
      <c r="C50" s="8" t="s">
        <v>566</v>
      </c>
      <c r="D50" s="29">
        <v>2010.1</v>
      </c>
      <c r="E50" s="29">
        <v>2022.9</v>
      </c>
      <c r="F50" s="29">
        <v>12.83</v>
      </c>
    </row>
    <row r="51" spans="1:6" ht="15" customHeight="1" x14ac:dyDescent="0.2">
      <c r="A51" s="8" t="s">
        <v>609</v>
      </c>
      <c r="B51" s="8" t="s">
        <v>559</v>
      </c>
      <c r="C51" s="8" t="s">
        <v>566</v>
      </c>
      <c r="D51" s="29">
        <v>2010.5</v>
      </c>
      <c r="E51" s="29">
        <v>2019</v>
      </c>
      <c r="F51" s="29">
        <v>8.5</v>
      </c>
    </row>
    <row r="52" spans="1:6" ht="15" customHeight="1" x14ac:dyDescent="0.2">
      <c r="A52" s="8" t="s">
        <v>610</v>
      </c>
      <c r="B52" s="8" t="s">
        <v>559</v>
      </c>
      <c r="C52" s="8" t="s">
        <v>566</v>
      </c>
      <c r="D52" s="29">
        <v>2011.2</v>
      </c>
      <c r="E52" s="29">
        <v>2019.1</v>
      </c>
      <c r="F52" s="29">
        <v>7.92</v>
      </c>
    </row>
    <row r="53" spans="1:6" ht="15" customHeight="1" x14ac:dyDescent="0.2">
      <c r="A53" s="8" t="s">
        <v>611</v>
      </c>
      <c r="B53" s="8" t="s">
        <v>559</v>
      </c>
      <c r="C53" s="8" t="s">
        <v>566</v>
      </c>
      <c r="D53" s="29">
        <v>2011.2</v>
      </c>
      <c r="E53" s="29">
        <v>2020.3</v>
      </c>
      <c r="F53" s="29">
        <v>9.17</v>
      </c>
    </row>
    <row r="54" spans="1:6" ht="15" customHeight="1" x14ac:dyDescent="0.2">
      <c r="A54" s="8" t="s">
        <v>612</v>
      </c>
      <c r="B54" s="8" t="s">
        <v>559</v>
      </c>
      <c r="C54" s="8" t="s">
        <v>566</v>
      </c>
      <c r="D54" s="29">
        <v>2011.2</v>
      </c>
      <c r="E54" s="29">
        <v>2022.8</v>
      </c>
      <c r="F54" s="29">
        <v>11.67</v>
      </c>
    </row>
    <row r="55" spans="1:6" ht="15" customHeight="1" x14ac:dyDescent="0.2">
      <c r="A55" s="8" t="s">
        <v>613</v>
      </c>
      <c r="B55" s="8" t="s">
        <v>559</v>
      </c>
      <c r="C55" s="8" t="s">
        <v>566</v>
      </c>
      <c r="D55" s="29">
        <v>2005.9</v>
      </c>
      <c r="E55" s="29">
        <v>2019.8</v>
      </c>
      <c r="F55" s="29">
        <v>13.92</v>
      </c>
    </row>
    <row r="56" spans="1:6" ht="15" customHeight="1" x14ac:dyDescent="0.2">
      <c r="A56" s="8" t="s">
        <v>614</v>
      </c>
      <c r="B56" s="8" t="s">
        <v>559</v>
      </c>
      <c r="C56" s="8" t="s">
        <v>560</v>
      </c>
      <c r="D56" s="29">
        <v>2006.2</v>
      </c>
      <c r="E56" s="29">
        <v>2021.2</v>
      </c>
      <c r="F56" s="29">
        <v>15.08</v>
      </c>
    </row>
    <row r="57" spans="1:6" ht="15" customHeight="1" x14ac:dyDescent="0.2">
      <c r="A57" s="8" t="s">
        <v>615</v>
      </c>
      <c r="B57" s="8" t="s">
        <v>559</v>
      </c>
      <c r="C57" s="8" t="s">
        <v>562</v>
      </c>
      <c r="D57" s="29">
        <v>2013.2</v>
      </c>
      <c r="E57" s="29">
        <v>2019.2</v>
      </c>
      <c r="F57" s="29">
        <v>5.92</v>
      </c>
    </row>
    <row r="58" spans="1:6" ht="15" customHeight="1" x14ac:dyDescent="0.2">
      <c r="A58" s="8" t="s">
        <v>616</v>
      </c>
      <c r="B58" s="8" t="s">
        <v>559</v>
      </c>
      <c r="C58" s="8" t="s">
        <v>566</v>
      </c>
      <c r="D58" s="29">
        <v>2013.2</v>
      </c>
      <c r="E58" s="29">
        <v>2022.8</v>
      </c>
      <c r="F58" s="29">
        <v>9.58</v>
      </c>
    </row>
    <row r="59" spans="1:6" ht="15" customHeight="1" x14ac:dyDescent="0.2">
      <c r="A59" s="8" t="s">
        <v>617</v>
      </c>
      <c r="B59" s="8" t="s">
        <v>559</v>
      </c>
      <c r="C59" s="8" t="s">
        <v>562</v>
      </c>
      <c r="D59" s="29">
        <v>2013.2</v>
      </c>
      <c r="E59" s="29">
        <v>2021.5</v>
      </c>
      <c r="F59" s="29">
        <v>8.25</v>
      </c>
    </row>
    <row r="60" spans="1:6" ht="15" customHeight="1" x14ac:dyDescent="0.2">
      <c r="A60" s="8" t="s">
        <v>618</v>
      </c>
      <c r="B60" s="8" t="s">
        <v>619</v>
      </c>
      <c r="C60" s="8" t="s">
        <v>566</v>
      </c>
      <c r="D60" s="29">
        <v>2013.2</v>
      </c>
      <c r="E60" s="29">
        <v>2019.9</v>
      </c>
      <c r="F60" s="29">
        <v>6.67</v>
      </c>
    </row>
    <row r="61" spans="1:6" ht="15" customHeight="1" x14ac:dyDescent="0.2">
      <c r="A61" s="8" t="s">
        <v>620</v>
      </c>
      <c r="B61" s="8" t="s">
        <v>621</v>
      </c>
      <c r="C61" s="8" t="s">
        <v>566</v>
      </c>
      <c r="D61" s="29">
        <v>2016.3</v>
      </c>
      <c r="E61" s="29">
        <v>2020.1</v>
      </c>
      <c r="F61" s="29">
        <v>3.75</v>
      </c>
    </row>
    <row r="62" spans="1:6" ht="15" customHeight="1" x14ac:dyDescent="0.2">
      <c r="A62" s="8" t="s">
        <v>622</v>
      </c>
      <c r="B62" s="8" t="s">
        <v>621</v>
      </c>
      <c r="C62" s="8" t="s">
        <v>566</v>
      </c>
      <c r="D62" s="29">
        <v>2016.4</v>
      </c>
      <c r="E62" s="29">
        <v>2019.8</v>
      </c>
      <c r="F62" s="29">
        <v>3.42</v>
      </c>
    </row>
    <row r="63" spans="1:6" ht="15" customHeight="1" x14ac:dyDescent="0.2">
      <c r="A63" s="8" t="s">
        <v>623</v>
      </c>
      <c r="B63" s="8" t="s">
        <v>621</v>
      </c>
      <c r="C63" s="8" t="s">
        <v>566</v>
      </c>
      <c r="D63" s="29">
        <v>2016.5</v>
      </c>
      <c r="E63" s="29">
        <v>2021.1</v>
      </c>
      <c r="F63" s="29">
        <v>4.58</v>
      </c>
    </row>
    <row r="64" spans="1:6" ht="15" customHeight="1" x14ac:dyDescent="0.2">
      <c r="A64" s="8" t="s">
        <v>624</v>
      </c>
      <c r="B64" s="8" t="s">
        <v>621</v>
      </c>
      <c r="C64" s="8" t="s">
        <v>566</v>
      </c>
      <c r="D64" s="29">
        <v>2016.6</v>
      </c>
      <c r="E64" s="29">
        <v>2023.7</v>
      </c>
      <c r="F64" s="29">
        <v>7.08</v>
      </c>
    </row>
    <row r="65" spans="1:6" ht="15" customHeight="1" x14ac:dyDescent="0.2">
      <c r="A65" s="8" t="s">
        <v>625</v>
      </c>
      <c r="B65" s="8" t="s">
        <v>621</v>
      </c>
      <c r="C65" s="8" t="s">
        <v>566</v>
      </c>
      <c r="D65" s="29">
        <v>2016.7</v>
      </c>
      <c r="E65" s="29">
        <v>2021.2</v>
      </c>
      <c r="F65" s="29">
        <v>4.5</v>
      </c>
    </row>
    <row r="66" spans="1:6" ht="15" customHeight="1" x14ac:dyDescent="0.2">
      <c r="A66" s="8" t="s">
        <v>626</v>
      </c>
      <c r="B66" s="8" t="s">
        <v>621</v>
      </c>
      <c r="C66" s="8" t="s">
        <v>566</v>
      </c>
      <c r="D66" s="29">
        <v>2016.9</v>
      </c>
      <c r="E66" s="29">
        <v>2019.9</v>
      </c>
      <c r="F66" s="29">
        <v>3</v>
      </c>
    </row>
    <row r="67" spans="1:6" ht="15" customHeight="1" x14ac:dyDescent="0.2">
      <c r="A67" s="8" t="s">
        <v>627</v>
      </c>
      <c r="B67" s="8" t="s">
        <v>621</v>
      </c>
      <c r="C67" s="8" t="s">
        <v>566</v>
      </c>
      <c r="D67" s="29">
        <v>2016.9</v>
      </c>
      <c r="E67" s="29">
        <v>2024.2</v>
      </c>
      <c r="F67" s="29">
        <v>7.33</v>
      </c>
    </row>
    <row r="68" spans="1:6" ht="15" customHeight="1" x14ac:dyDescent="0.2">
      <c r="A68" s="8" t="s">
        <v>628</v>
      </c>
      <c r="B68" s="8" t="s">
        <v>621</v>
      </c>
      <c r="C68" s="8" t="s">
        <v>566</v>
      </c>
      <c r="D68" s="29">
        <v>2016.9</v>
      </c>
      <c r="E68" s="29">
        <v>2025.7</v>
      </c>
      <c r="F68" s="29">
        <v>8.75</v>
      </c>
    </row>
    <row r="69" spans="1:6" ht="15" customHeight="1" x14ac:dyDescent="0.2">
      <c r="A69" s="8" t="s">
        <v>629</v>
      </c>
      <c r="B69" s="8" t="s">
        <v>621</v>
      </c>
      <c r="C69" s="8" t="s">
        <v>566</v>
      </c>
      <c r="D69" s="29">
        <v>2016.9</v>
      </c>
      <c r="E69" s="29">
        <v>2024.2</v>
      </c>
      <c r="F69" s="29">
        <v>7.33</v>
      </c>
    </row>
    <row r="70" spans="1:6" ht="15" customHeight="1" x14ac:dyDescent="0.2">
      <c r="A70" s="8" t="s">
        <v>630</v>
      </c>
      <c r="B70" s="8" t="s">
        <v>621</v>
      </c>
      <c r="C70" s="8" t="s">
        <v>566</v>
      </c>
      <c r="D70" s="29">
        <v>2017.4</v>
      </c>
      <c r="E70" s="29">
        <v>2023.2</v>
      </c>
      <c r="F70" s="29">
        <v>5.83</v>
      </c>
    </row>
    <row r="71" spans="1:6" ht="15" customHeight="1" x14ac:dyDescent="0.2">
      <c r="A71" s="8" t="s">
        <v>631</v>
      </c>
      <c r="B71" s="8" t="s">
        <v>621</v>
      </c>
      <c r="C71" s="8" t="s">
        <v>566</v>
      </c>
      <c r="D71" s="29">
        <v>2017.6</v>
      </c>
      <c r="E71" s="29">
        <v>2021.8</v>
      </c>
      <c r="F71" s="29">
        <v>4.17</v>
      </c>
    </row>
    <row r="72" spans="1:6" ht="15" customHeight="1" x14ac:dyDescent="0.2">
      <c r="A72" s="8" t="s">
        <v>632</v>
      </c>
      <c r="B72" s="8" t="s">
        <v>621</v>
      </c>
      <c r="C72" s="8" t="s">
        <v>566</v>
      </c>
      <c r="D72" s="29">
        <v>2017.7</v>
      </c>
      <c r="E72" s="29">
        <v>2024.4</v>
      </c>
      <c r="F72" s="29">
        <v>6.75</v>
      </c>
    </row>
    <row r="73" spans="1:6" ht="15" customHeight="1" x14ac:dyDescent="0.2">
      <c r="A73" s="8" t="s">
        <v>633</v>
      </c>
      <c r="B73" s="8" t="s">
        <v>621</v>
      </c>
      <c r="C73" s="8" t="s">
        <v>566</v>
      </c>
      <c r="D73" s="29">
        <v>2017.7</v>
      </c>
      <c r="E73" s="29">
        <v>2022.7</v>
      </c>
      <c r="F73" s="29">
        <v>5</v>
      </c>
    </row>
    <row r="74" spans="1:6" ht="15" customHeight="1" x14ac:dyDescent="0.2">
      <c r="A74" s="8" t="s">
        <v>634</v>
      </c>
      <c r="B74" s="8" t="s">
        <v>621</v>
      </c>
      <c r="C74" s="8" t="s">
        <v>566</v>
      </c>
      <c r="D74" s="29">
        <v>2017.9</v>
      </c>
      <c r="E74" s="29">
        <v>2023.2</v>
      </c>
      <c r="F74" s="29">
        <v>5.33</v>
      </c>
    </row>
    <row r="75" spans="1:6" ht="15" customHeight="1" x14ac:dyDescent="0.2">
      <c r="A75" s="8" t="s">
        <v>635</v>
      </c>
      <c r="B75" s="8" t="s">
        <v>621</v>
      </c>
      <c r="C75" s="8" t="s">
        <v>566</v>
      </c>
      <c r="D75" s="29">
        <v>2018.5</v>
      </c>
      <c r="E75" s="29">
        <v>2024.8</v>
      </c>
      <c r="F75" s="29">
        <v>6.33</v>
      </c>
    </row>
    <row r="76" spans="1:6" ht="15" customHeight="1" x14ac:dyDescent="0.2">
      <c r="A76" s="8" t="s">
        <v>636</v>
      </c>
      <c r="B76" s="8" t="s">
        <v>621</v>
      </c>
      <c r="C76" s="8" t="s">
        <v>566</v>
      </c>
      <c r="D76" s="29">
        <v>2018.8</v>
      </c>
      <c r="E76" s="29">
        <v>2023.2</v>
      </c>
      <c r="F76" s="29">
        <v>4.5</v>
      </c>
    </row>
    <row r="77" spans="1:6" ht="15" customHeight="1" x14ac:dyDescent="0.2">
      <c r="A77" s="8" t="s">
        <v>637</v>
      </c>
      <c r="B77" s="8" t="s">
        <v>621</v>
      </c>
      <c r="C77" s="8" t="s">
        <v>566</v>
      </c>
      <c r="D77" s="29">
        <v>2018.8</v>
      </c>
      <c r="E77" s="29">
        <v>2022.4</v>
      </c>
      <c r="F77" s="29">
        <v>3.58</v>
      </c>
    </row>
    <row r="78" spans="1:6" ht="15" customHeight="1" x14ac:dyDescent="0.2">
      <c r="A78" s="8" t="s">
        <v>638</v>
      </c>
      <c r="B78" s="8" t="s">
        <v>621</v>
      </c>
      <c r="C78" s="8" t="s">
        <v>566</v>
      </c>
      <c r="D78" s="29">
        <v>2018.8</v>
      </c>
      <c r="E78" s="29">
        <v>2022.2</v>
      </c>
      <c r="F78" s="29">
        <v>3.42</v>
      </c>
    </row>
    <row r="79" spans="1:6" ht="15" customHeight="1" x14ac:dyDescent="0.2">
      <c r="A79" s="8" t="s">
        <v>639</v>
      </c>
      <c r="B79" s="8" t="s">
        <v>621</v>
      </c>
      <c r="C79" s="8" t="s">
        <v>566</v>
      </c>
      <c r="D79" s="29">
        <v>2019.3</v>
      </c>
      <c r="E79" s="29">
        <v>2022.6</v>
      </c>
      <c r="F79" s="29">
        <v>3.25</v>
      </c>
    </row>
    <row r="80" spans="1:6" ht="15" customHeight="1" x14ac:dyDescent="0.2">
      <c r="A80" s="8" t="s">
        <v>640</v>
      </c>
      <c r="B80" s="8" t="s">
        <v>621</v>
      </c>
      <c r="C80" s="8" t="s">
        <v>566</v>
      </c>
      <c r="D80" s="29">
        <v>2020.2</v>
      </c>
      <c r="E80" s="29">
        <v>2022.9</v>
      </c>
      <c r="F80" s="29">
        <v>2.75</v>
      </c>
    </row>
    <row r="81" spans="1:6" ht="15" customHeight="1" x14ac:dyDescent="0.2">
      <c r="A81" s="8" t="s">
        <v>641</v>
      </c>
      <c r="B81" s="8" t="s">
        <v>621</v>
      </c>
      <c r="C81" s="8" t="s">
        <v>566</v>
      </c>
      <c r="D81" s="29">
        <v>2020.2</v>
      </c>
      <c r="E81" s="29">
        <v>2023.2</v>
      </c>
      <c r="F81" s="29">
        <v>3</v>
      </c>
    </row>
    <row r="82" spans="1:6" ht="15" customHeight="1" x14ac:dyDescent="0.2">
      <c r="A82" s="8" t="s">
        <v>642</v>
      </c>
      <c r="B82" s="8" t="s">
        <v>621</v>
      </c>
      <c r="C82" s="8" t="s">
        <v>566</v>
      </c>
      <c r="D82" s="29">
        <v>2020.2</v>
      </c>
      <c r="E82" s="29">
        <v>2022.3</v>
      </c>
      <c r="F82" s="29">
        <v>2.08</v>
      </c>
    </row>
    <row r="83" spans="1:6" ht="15" customHeight="1" x14ac:dyDescent="0.2">
      <c r="A83" s="8" t="s">
        <v>643</v>
      </c>
      <c r="B83" s="8" t="s">
        <v>621</v>
      </c>
      <c r="C83" s="8" t="s">
        <v>566</v>
      </c>
      <c r="D83" s="29">
        <v>2020.2</v>
      </c>
      <c r="E83" s="29">
        <v>2024.2</v>
      </c>
      <c r="F83" s="29">
        <v>3.92</v>
      </c>
    </row>
    <row r="84" spans="1:6" ht="15" customHeight="1" x14ac:dyDescent="0.2">
      <c r="A84" s="8" t="s">
        <v>644</v>
      </c>
      <c r="B84" s="8" t="s">
        <v>621</v>
      </c>
      <c r="C84" s="8" t="s">
        <v>566</v>
      </c>
      <c r="D84" s="29">
        <v>2020.8</v>
      </c>
      <c r="E84" s="29">
        <v>2024.2</v>
      </c>
      <c r="F84" s="29">
        <v>3.42</v>
      </c>
    </row>
    <row r="85" spans="1:6" ht="15" customHeight="1" x14ac:dyDescent="0.2">
      <c r="A85" s="8" t="s">
        <v>645</v>
      </c>
      <c r="B85" s="8" t="s">
        <v>621</v>
      </c>
      <c r="C85" s="8" t="s">
        <v>566</v>
      </c>
      <c r="D85" s="29">
        <v>2021.7</v>
      </c>
      <c r="E85" s="29">
        <v>2024.6</v>
      </c>
      <c r="F85" s="29">
        <v>2.92</v>
      </c>
    </row>
    <row r="86" spans="1:6" ht="15" customHeight="1" x14ac:dyDescent="0.2">
      <c r="A86" s="8" t="s">
        <v>646</v>
      </c>
      <c r="B86" s="8" t="s">
        <v>621</v>
      </c>
      <c r="C86" s="8" t="s">
        <v>566</v>
      </c>
      <c r="D86" s="29">
        <v>2022.2</v>
      </c>
      <c r="E86" s="29">
        <v>2025.5</v>
      </c>
      <c r="F86" s="29">
        <v>3.25</v>
      </c>
    </row>
    <row r="87" spans="1:6" ht="15" customHeight="1" x14ac:dyDescent="0.2">
      <c r="A87" s="8" t="s">
        <v>647</v>
      </c>
      <c r="B87" s="8" t="s">
        <v>621</v>
      </c>
      <c r="C87" s="8" t="s">
        <v>564</v>
      </c>
      <c r="D87" s="29">
        <v>2022.9</v>
      </c>
      <c r="E87" s="29">
        <v>2024.9</v>
      </c>
      <c r="F87" s="29">
        <v>2</v>
      </c>
    </row>
    <row r="88" spans="1:6" ht="15" customHeight="1" x14ac:dyDescent="0.2">
      <c r="A88" s="8" t="s">
        <v>648</v>
      </c>
      <c r="B88" s="8" t="s">
        <v>621</v>
      </c>
      <c r="C88" s="8" t="s">
        <v>566</v>
      </c>
      <c r="D88" s="29">
        <v>2022.9</v>
      </c>
      <c r="E88" s="29">
        <v>2025.9</v>
      </c>
      <c r="F88" s="29">
        <v>3</v>
      </c>
    </row>
    <row r="89" spans="1:6" ht="15" customHeight="1" x14ac:dyDescent="0.2">
      <c r="A89" s="8" t="s">
        <v>649</v>
      </c>
      <c r="B89" s="8" t="s">
        <v>621</v>
      </c>
      <c r="C89" s="8" t="s">
        <v>562</v>
      </c>
      <c r="D89" s="29">
        <v>2023.5</v>
      </c>
      <c r="E89" s="29">
        <v>2024.5</v>
      </c>
      <c r="F89" s="29">
        <v>1</v>
      </c>
    </row>
    <row r="90" spans="1:6" ht="15" customHeight="1" x14ac:dyDescent="0.2">
      <c r="A90" s="8" t="s">
        <v>650</v>
      </c>
      <c r="B90" s="8" t="s">
        <v>621</v>
      </c>
      <c r="C90" s="8" t="s">
        <v>562</v>
      </c>
      <c r="D90" s="29">
        <v>2023.5</v>
      </c>
      <c r="E90" s="29">
        <v>2024.5</v>
      </c>
      <c r="F90" s="29">
        <v>1</v>
      </c>
    </row>
    <row r="91" spans="1:6" ht="15" customHeight="1" x14ac:dyDescent="0.2">
      <c r="A91" s="8" t="s">
        <v>651</v>
      </c>
      <c r="B91" s="8" t="s">
        <v>621</v>
      </c>
      <c r="C91" s="8" t="s">
        <v>562</v>
      </c>
      <c r="D91" s="29">
        <v>2024</v>
      </c>
      <c r="E91" s="29">
        <v>2025.7</v>
      </c>
      <c r="F91" s="29">
        <v>1.67</v>
      </c>
    </row>
    <row r="92" spans="1:6" ht="15" customHeight="1" x14ac:dyDescent="0.2">
      <c r="A92" s="8" t="s">
        <v>652</v>
      </c>
      <c r="B92" s="8" t="s">
        <v>653</v>
      </c>
      <c r="C92" s="8" t="s">
        <v>566</v>
      </c>
      <c r="D92" s="29">
        <v>2017.6</v>
      </c>
      <c r="E92" s="29">
        <v>2023.9</v>
      </c>
      <c r="F92" s="29">
        <v>6.33</v>
      </c>
    </row>
    <row r="93" spans="1:6" ht="15" customHeight="1" x14ac:dyDescent="0.2">
      <c r="A93" s="8" t="s">
        <v>654</v>
      </c>
      <c r="B93" s="8" t="s">
        <v>655</v>
      </c>
      <c r="C93" s="8" t="s">
        <v>564</v>
      </c>
      <c r="D93" s="29">
        <v>2017.8</v>
      </c>
      <c r="E93" s="29">
        <v>2023.2</v>
      </c>
      <c r="F93" s="29">
        <v>5.42</v>
      </c>
    </row>
    <row r="94" spans="1:6" ht="15" customHeight="1" x14ac:dyDescent="0.2">
      <c r="A94" s="8" t="s">
        <v>656</v>
      </c>
      <c r="B94" s="8" t="s">
        <v>655</v>
      </c>
      <c r="C94" s="8" t="s">
        <v>657</v>
      </c>
      <c r="D94" s="29">
        <v>2017.3</v>
      </c>
      <c r="E94" s="29">
        <v>2019.9</v>
      </c>
      <c r="F94" s="29">
        <v>2.58</v>
      </c>
    </row>
    <row r="95" spans="1:6" ht="15" customHeight="1" x14ac:dyDescent="0.2">
      <c r="A95" s="8" t="s">
        <v>658</v>
      </c>
      <c r="B95" s="8" t="s">
        <v>655</v>
      </c>
      <c r="C95" s="8" t="s">
        <v>562</v>
      </c>
      <c r="D95" s="29">
        <v>2020</v>
      </c>
      <c r="E95" s="29">
        <v>2022.9</v>
      </c>
      <c r="F95" s="29">
        <v>2.92</v>
      </c>
    </row>
    <row r="96" spans="1:6" ht="15" customHeight="1" x14ac:dyDescent="0.2">
      <c r="A96" s="8" t="s">
        <v>659</v>
      </c>
      <c r="B96" s="8" t="s">
        <v>655</v>
      </c>
      <c r="C96" s="8" t="s">
        <v>562</v>
      </c>
      <c r="D96" s="29">
        <v>2020</v>
      </c>
      <c r="E96" s="29">
        <v>2022.9</v>
      </c>
      <c r="F96" s="29">
        <v>2.92</v>
      </c>
    </row>
    <row r="97" spans="1:6" ht="15" customHeight="1" x14ac:dyDescent="0.2">
      <c r="A97" s="8" t="s">
        <v>660</v>
      </c>
      <c r="B97" s="8" t="s">
        <v>655</v>
      </c>
      <c r="C97" s="8" t="s">
        <v>562</v>
      </c>
      <c r="D97" s="29">
        <v>2020</v>
      </c>
      <c r="E97" s="29">
        <v>2023.9</v>
      </c>
      <c r="F97" s="29">
        <v>3.92</v>
      </c>
    </row>
    <row r="98" spans="1:6" ht="15" customHeight="1" x14ac:dyDescent="0.2">
      <c r="A98" s="8" t="s">
        <v>661</v>
      </c>
      <c r="B98" s="8" t="s">
        <v>655</v>
      </c>
      <c r="C98" s="8" t="s">
        <v>562</v>
      </c>
      <c r="D98" s="29">
        <v>2020</v>
      </c>
      <c r="E98" s="29">
        <v>2023.9</v>
      </c>
      <c r="F98" s="29">
        <v>3.92</v>
      </c>
    </row>
    <row r="99" spans="1:6" ht="15" customHeight="1" x14ac:dyDescent="0.2">
      <c r="A99" s="8" t="s">
        <v>662</v>
      </c>
      <c r="B99" s="8" t="s">
        <v>655</v>
      </c>
      <c r="C99" s="8" t="s">
        <v>562</v>
      </c>
      <c r="D99" s="29">
        <v>2020</v>
      </c>
      <c r="E99" s="29">
        <v>2023.9</v>
      </c>
      <c r="F99" s="29">
        <v>3.92</v>
      </c>
    </row>
    <row r="100" spans="1:6" ht="15" customHeight="1" x14ac:dyDescent="0.2">
      <c r="A100" s="8" t="s">
        <v>663</v>
      </c>
      <c r="B100" s="8" t="s">
        <v>655</v>
      </c>
      <c r="C100" s="8" t="s">
        <v>562</v>
      </c>
      <c r="D100" s="29">
        <v>2015.9</v>
      </c>
      <c r="E100" s="29">
        <v>2019.9</v>
      </c>
      <c r="F100" s="29">
        <v>4</v>
      </c>
    </row>
    <row r="101" spans="1:6" ht="15" customHeight="1" x14ac:dyDescent="0.2">
      <c r="A101" s="8" t="s">
        <v>664</v>
      </c>
      <c r="B101" s="8" t="s">
        <v>655</v>
      </c>
      <c r="C101" s="8" t="s">
        <v>562</v>
      </c>
      <c r="D101" s="29">
        <v>2015.9</v>
      </c>
      <c r="E101" s="29">
        <v>2019.9</v>
      </c>
      <c r="F101" s="29">
        <v>4</v>
      </c>
    </row>
    <row r="102" spans="1:6" ht="15" customHeight="1" x14ac:dyDescent="0.2">
      <c r="A102" s="8" t="s">
        <v>665</v>
      </c>
      <c r="B102" s="8" t="s">
        <v>621</v>
      </c>
      <c r="C102" s="8" t="s">
        <v>566</v>
      </c>
      <c r="D102" s="29">
        <v>2016.7</v>
      </c>
      <c r="E102" s="29">
        <v>2021.3</v>
      </c>
      <c r="F102" s="29">
        <v>4.67</v>
      </c>
    </row>
    <row r="103" spans="1:6" ht="15" customHeight="1" x14ac:dyDescent="0.2">
      <c r="A103" s="8" t="s">
        <v>666</v>
      </c>
      <c r="B103" s="8" t="s">
        <v>621</v>
      </c>
      <c r="C103" s="8" t="s">
        <v>566</v>
      </c>
      <c r="D103" s="29">
        <v>2016.7</v>
      </c>
      <c r="E103" s="29">
        <v>2022</v>
      </c>
      <c r="F103" s="29">
        <v>5.33</v>
      </c>
    </row>
    <row r="104" spans="1:6" ht="15" customHeight="1" x14ac:dyDescent="0.2">
      <c r="A104" s="8" t="s">
        <v>638</v>
      </c>
      <c r="B104" s="8" t="s">
        <v>621</v>
      </c>
      <c r="C104" s="8" t="s">
        <v>562</v>
      </c>
      <c r="D104" s="29">
        <v>2017.2</v>
      </c>
      <c r="E104" s="29">
        <v>2022.4</v>
      </c>
      <c r="F104" s="29">
        <v>5.25</v>
      </c>
    </row>
    <row r="105" spans="1:6" ht="15" customHeight="1" x14ac:dyDescent="0.2">
      <c r="A105" s="8" t="s">
        <v>667</v>
      </c>
      <c r="B105" s="8" t="s">
        <v>621</v>
      </c>
      <c r="C105" s="8" t="s">
        <v>566</v>
      </c>
      <c r="D105" s="29">
        <v>2017.2</v>
      </c>
      <c r="E105" s="29">
        <v>2021.9</v>
      </c>
      <c r="F105" s="29">
        <v>4.67</v>
      </c>
    </row>
    <row r="106" spans="1:6" ht="15" customHeight="1" x14ac:dyDescent="0.2">
      <c r="A106" s="8" t="s">
        <v>668</v>
      </c>
      <c r="B106" s="8" t="s">
        <v>621</v>
      </c>
      <c r="C106" s="8" t="s">
        <v>566</v>
      </c>
      <c r="D106" s="29">
        <v>2017.3</v>
      </c>
      <c r="E106" s="29">
        <v>2021.9</v>
      </c>
      <c r="F106" s="29">
        <v>4.58</v>
      </c>
    </row>
    <row r="107" spans="1:6" ht="15" customHeight="1" x14ac:dyDescent="0.2">
      <c r="A107" s="8" t="s">
        <v>669</v>
      </c>
      <c r="B107" s="8" t="s">
        <v>621</v>
      </c>
      <c r="C107" s="8" t="s">
        <v>566</v>
      </c>
      <c r="D107" s="29">
        <v>2017.4</v>
      </c>
      <c r="E107" s="29">
        <v>2022</v>
      </c>
      <c r="F107" s="29">
        <v>4.58</v>
      </c>
    </row>
    <row r="108" spans="1:6" ht="15" customHeight="1" x14ac:dyDescent="0.2">
      <c r="A108" s="8" t="s">
        <v>670</v>
      </c>
      <c r="B108" s="8" t="s">
        <v>621</v>
      </c>
      <c r="C108" s="8" t="s">
        <v>566</v>
      </c>
      <c r="D108" s="29">
        <v>2017.4</v>
      </c>
      <c r="E108" s="29">
        <v>2020.9</v>
      </c>
      <c r="F108" s="29">
        <v>3.5</v>
      </c>
    </row>
    <row r="109" spans="1:6" ht="15" customHeight="1" x14ac:dyDescent="0.2">
      <c r="A109" s="8" t="s">
        <v>671</v>
      </c>
      <c r="B109" s="8" t="s">
        <v>621</v>
      </c>
      <c r="C109" s="8" t="s">
        <v>566</v>
      </c>
      <c r="D109" s="29">
        <v>2017.4</v>
      </c>
      <c r="E109" s="29">
        <v>2021.1</v>
      </c>
      <c r="F109" s="29">
        <v>3.67</v>
      </c>
    </row>
    <row r="110" spans="1:6" ht="15" customHeight="1" x14ac:dyDescent="0.2">
      <c r="A110" s="8" t="s">
        <v>672</v>
      </c>
      <c r="B110" s="8" t="s">
        <v>621</v>
      </c>
      <c r="C110" s="8" t="s">
        <v>566</v>
      </c>
      <c r="D110" s="29">
        <v>2017.4</v>
      </c>
      <c r="E110" s="29">
        <v>2025</v>
      </c>
      <c r="F110" s="29">
        <v>7.58</v>
      </c>
    </row>
    <row r="111" spans="1:6" ht="15" customHeight="1" x14ac:dyDescent="0.2">
      <c r="A111" s="8" t="s">
        <v>673</v>
      </c>
      <c r="B111" s="8" t="s">
        <v>621</v>
      </c>
      <c r="C111" s="8" t="s">
        <v>566</v>
      </c>
      <c r="D111" s="29">
        <v>2017.4</v>
      </c>
      <c r="E111" s="29">
        <v>2023</v>
      </c>
      <c r="F111" s="29">
        <v>5.58</v>
      </c>
    </row>
    <row r="112" spans="1:6" ht="15" customHeight="1" x14ac:dyDescent="0.2">
      <c r="A112" s="8" t="s">
        <v>674</v>
      </c>
      <c r="B112" s="8" t="s">
        <v>621</v>
      </c>
      <c r="C112" s="8" t="s">
        <v>566</v>
      </c>
      <c r="D112" s="29">
        <v>2017.4</v>
      </c>
      <c r="E112" s="29">
        <v>2024.8</v>
      </c>
      <c r="F112" s="29">
        <v>7.42</v>
      </c>
    </row>
    <row r="113" spans="1:6" ht="15" customHeight="1" x14ac:dyDescent="0.2">
      <c r="A113" s="8" t="s">
        <v>675</v>
      </c>
      <c r="B113" s="8" t="s">
        <v>621</v>
      </c>
      <c r="C113" s="8" t="s">
        <v>566</v>
      </c>
      <c r="D113" s="29">
        <v>2017.4</v>
      </c>
      <c r="E113" s="29">
        <v>2020.9</v>
      </c>
      <c r="F113" s="29">
        <v>3.5</v>
      </c>
    </row>
    <row r="114" spans="1:6" ht="15" customHeight="1" x14ac:dyDescent="0.2">
      <c r="A114" s="8" t="s">
        <v>676</v>
      </c>
      <c r="B114" s="8" t="s">
        <v>621</v>
      </c>
      <c r="C114" s="8" t="s">
        <v>566</v>
      </c>
      <c r="D114" s="29">
        <v>2017.4</v>
      </c>
      <c r="E114" s="29">
        <v>2024</v>
      </c>
      <c r="F114" s="29">
        <v>6.58</v>
      </c>
    </row>
    <row r="115" spans="1:6" ht="15" customHeight="1" x14ac:dyDescent="0.2">
      <c r="A115" s="8" t="s">
        <v>677</v>
      </c>
      <c r="B115" s="8" t="s">
        <v>621</v>
      </c>
      <c r="C115" s="8" t="s">
        <v>566</v>
      </c>
      <c r="D115" s="29">
        <v>2017.4</v>
      </c>
      <c r="E115" s="29">
        <v>2021.2</v>
      </c>
      <c r="F115" s="29">
        <v>3.83</v>
      </c>
    </row>
    <row r="116" spans="1:6" ht="15" customHeight="1" x14ac:dyDescent="0.2">
      <c r="A116" s="8" t="s">
        <v>678</v>
      </c>
      <c r="B116" s="8" t="s">
        <v>621</v>
      </c>
      <c r="C116" s="8" t="s">
        <v>566</v>
      </c>
      <c r="D116" s="29">
        <v>2017.4</v>
      </c>
      <c r="E116" s="29">
        <v>2024</v>
      </c>
      <c r="F116" s="29">
        <v>6.58</v>
      </c>
    </row>
    <row r="117" spans="1:6" ht="15" customHeight="1" x14ac:dyDescent="0.2">
      <c r="A117" s="8" t="s">
        <v>679</v>
      </c>
      <c r="B117" s="8" t="s">
        <v>621</v>
      </c>
      <c r="C117" s="8" t="s">
        <v>566</v>
      </c>
      <c r="D117" s="29">
        <v>2017.4</v>
      </c>
      <c r="E117" s="29">
        <v>2025</v>
      </c>
      <c r="F117" s="29">
        <v>7.58</v>
      </c>
    </row>
    <row r="118" spans="1:6" ht="15" customHeight="1" x14ac:dyDescent="0.2">
      <c r="A118" s="8" t="s">
        <v>680</v>
      </c>
      <c r="B118" s="8" t="s">
        <v>621</v>
      </c>
      <c r="C118" s="8" t="s">
        <v>566</v>
      </c>
      <c r="D118" s="29">
        <v>2017.4</v>
      </c>
      <c r="E118" s="29">
        <v>2023</v>
      </c>
      <c r="F118" s="29">
        <v>5.58</v>
      </c>
    </row>
    <row r="119" spans="1:6" ht="15" customHeight="1" x14ac:dyDescent="0.2">
      <c r="A119" s="8" t="s">
        <v>640</v>
      </c>
      <c r="B119" s="8" t="s">
        <v>621</v>
      </c>
      <c r="C119" s="8" t="s">
        <v>566</v>
      </c>
      <c r="D119" s="29">
        <v>2017.4</v>
      </c>
      <c r="E119" s="29">
        <v>2022</v>
      </c>
      <c r="F119" s="29">
        <v>4.58</v>
      </c>
    </row>
    <row r="120" spans="1:6" ht="15" customHeight="1" x14ac:dyDescent="0.2">
      <c r="A120" s="8" t="s">
        <v>681</v>
      </c>
      <c r="B120" s="8" t="s">
        <v>621</v>
      </c>
      <c r="C120" s="8" t="s">
        <v>566</v>
      </c>
      <c r="D120" s="29">
        <v>2017.4</v>
      </c>
      <c r="E120" s="29">
        <v>2024.2</v>
      </c>
      <c r="F120" s="29">
        <v>6.75</v>
      </c>
    </row>
    <row r="121" spans="1:6" ht="15" customHeight="1" x14ac:dyDescent="0.2">
      <c r="A121" s="8" t="s">
        <v>682</v>
      </c>
      <c r="B121" s="8" t="s">
        <v>621</v>
      </c>
      <c r="C121" s="8" t="s">
        <v>566</v>
      </c>
      <c r="D121" s="29">
        <v>2017.4</v>
      </c>
      <c r="E121" s="29">
        <v>2024</v>
      </c>
      <c r="F121" s="29">
        <v>6.58</v>
      </c>
    </row>
    <row r="122" spans="1:6" ht="15" customHeight="1" x14ac:dyDescent="0.2">
      <c r="A122" s="8" t="s">
        <v>641</v>
      </c>
      <c r="B122" s="8" t="s">
        <v>621</v>
      </c>
      <c r="C122" s="8" t="s">
        <v>566</v>
      </c>
      <c r="D122" s="29">
        <v>2017.4</v>
      </c>
      <c r="E122" s="29">
        <v>2021.4</v>
      </c>
      <c r="F122" s="29">
        <v>4</v>
      </c>
    </row>
    <row r="123" spans="1:6" ht="15" customHeight="1" x14ac:dyDescent="0.2">
      <c r="A123" s="8" t="s">
        <v>642</v>
      </c>
      <c r="B123" s="8" t="s">
        <v>621</v>
      </c>
      <c r="C123" s="8" t="s">
        <v>566</v>
      </c>
      <c r="D123" s="29">
        <v>2017.4</v>
      </c>
      <c r="E123" s="29">
        <v>2023</v>
      </c>
      <c r="F123" s="29">
        <v>5.58</v>
      </c>
    </row>
    <row r="124" spans="1:6" ht="15" customHeight="1" x14ac:dyDescent="0.2">
      <c r="A124" s="8" t="s">
        <v>643</v>
      </c>
      <c r="B124" s="8" t="s">
        <v>621</v>
      </c>
      <c r="C124" s="8" t="s">
        <v>566</v>
      </c>
      <c r="D124" s="29">
        <v>2017.4</v>
      </c>
      <c r="E124" s="29">
        <v>2022</v>
      </c>
      <c r="F124" s="29">
        <v>4.58</v>
      </c>
    </row>
    <row r="125" spans="1:6" ht="15" customHeight="1" x14ac:dyDescent="0.2">
      <c r="A125" s="8" t="s">
        <v>683</v>
      </c>
      <c r="B125" s="8" t="s">
        <v>621</v>
      </c>
      <c r="C125" s="8" t="s">
        <v>566</v>
      </c>
      <c r="D125" s="29">
        <v>2017.4</v>
      </c>
      <c r="E125" s="29">
        <v>2021.3</v>
      </c>
      <c r="F125" s="29">
        <v>3.92</v>
      </c>
    </row>
    <row r="126" spans="1:6" ht="15" customHeight="1" x14ac:dyDescent="0.2">
      <c r="A126" s="8" t="s">
        <v>644</v>
      </c>
      <c r="B126" s="8" t="s">
        <v>621</v>
      </c>
      <c r="C126" s="8" t="s">
        <v>566</v>
      </c>
      <c r="D126" s="29">
        <v>2017.4</v>
      </c>
      <c r="E126" s="29">
        <v>2021.2</v>
      </c>
      <c r="F126" s="29">
        <v>3.75</v>
      </c>
    </row>
    <row r="127" spans="1:6" ht="15" customHeight="1" x14ac:dyDescent="0.2">
      <c r="A127" s="8" t="s">
        <v>684</v>
      </c>
      <c r="B127" s="8" t="s">
        <v>621</v>
      </c>
      <c r="C127" s="8" t="s">
        <v>566</v>
      </c>
      <c r="D127" s="29">
        <v>2017.4</v>
      </c>
      <c r="E127" s="29">
        <v>2021.2</v>
      </c>
      <c r="F127" s="29">
        <v>3.75</v>
      </c>
    </row>
    <row r="128" spans="1:6" ht="15" customHeight="1" x14ac:dyDescent="0.2">
      <c r="A128" s="8" t="s">
        <v>685</v>
      </c>
      <c r="B128" s="8" t="s">
        <v>621</v>
      </c>
      <c r="C128" s="8" t="s">
        <v>566</v>
      </c>
      <c r="D128" s="29">
        <v>2017.4</v>
      </c>
      <c r="E128" s="29">
        <v>2021.1</v>
      </c>
      <c r="F128" s="29">
        <v>3.67</v>
      </c>
    </row>
    <row r="129" spans="1:6" ht="15" customHeight="1" x14ac:dyDescent="0.2">
      <c r="A129" s="8" t="s">
        <v>686</v>
      </c>
      <c r="B129" s="8" t="s">
        <v>621</v>
      </c>
      <c r="C129" s="8" t="s">
        <v>566</v>
      </c>
      <c r="D129" s="29">
        <v>2017.4</v>
      </c>
      <c r="E129" s="29">
        <v>2025</v>
      </c>
      <c r="F129" s="29">
        <v>7.58</v>
      </c>
    </row>
    <row r="130" spans="1:6" ht="15" customHeight="1" x14ac:dyDescent="0.2">
      <c r="A130" s="8" t="s">
        <v>687</v>
      </c>
      <c r="B130" s="8" t="s">
        <v>621</v>
      </c>
      <c r="C130" s="8" t="s">
        <v>566</v>
      </c>
      <c r="D130" s="29">
        <v>2017.4</v>
      </c>
      <c r="E130" s="29">
        <v>2024</v>
      </c>
      <c r="F130" s="29">
        <v>6.58</v>
      </c>
    </row>
    <row r="131" spans="1:6" ht="15" customHeight="1" x14ac:dyDescent="0.2">
      <c r="A131" s="8" t="s">
        <v>688</v>
      </c>
      <c r="B131" s="8" t="s">
        <v>621</v>
      </c>
      <c r="C131" s="8" t="s">
        <v>566</v>
      </c>
      <c r="D131" s="29">
        <v>2017.4</v>
      </c>
      <c r="E131" s="29">
        <v>2024</v>
      </c>
      <c r="F131" s="29">
        <v>6.58</v>
      </c>
    </row>
    <row r="132" spans="1:6" ht="15" customHeight="1" x14ac:dyDescent="0.2">
      <c r="A132" s="8" t="s">
        <v>689</v>
      </c>
      <c r="B132" s="8" t="s">
        <v>621</v>
      </c>
      <c r="C132" s="8" t="s">
        <v>566</v>
      </c>
      <c r="D132" s="29">
        <v>2017.4</v>
      </c>
      <c r="E132" s="29">
        <v>2020.9</v>
      </c>
      <c r="F132" s="29">
        <v>3.5</v>
      </c>
    </row>
    <row r="133" spans="1:6" ht="15" customHeight="1" x14ac:dyDescent="0.2">
      <c r="A133" s="8" t="s">
        <v>690</v>
      </c>
      <c r="B133" s="8" t="s">
        <v>621</v>
      </c>
      <c r="C133" s="8" t="s">
        <v>566</v>
      </c>
      <c r="D133" s="29">
        <v>2017.4</v>
      </c>
      <c r="E133" s="29">
        <v>2020.9</v>
      </c>
      <c r="F133" s="29">
        <v>3.5</v>
      </c>
    </row>
    <row r="134" spans="1:6" ht="15" customHeight="1" x14ac:dyDescent="0.2">
      <c r="A134" s="8" t="s">
        <v>691</v>
      </c>
      <c r="B134" s="8" t="s">
        <v>621</v>
      </c>
      <c r="C134" s="8" t="s">
        <v>566</v>
      </c>
      <c r="D134" s="29">
        <v>2017.4</v>
      </c>
      <c r="E134" s="29">
        <v>2021.2</v>
      </c>
      <c r="F134" s="29">
        <v>3.75</v>
      </c>
    </row>
    <row r="135" spans="1:6" ht="15" customHeight="1" x14ac:dyDescent="0.2">
      <c r="A135" s="8" t="s">
        <v>692</v>
      </c>
      <c r="B135" s="8" t="s">
        <v>621</v>
      </c>
      <c r="C135" s="8" t="s">
        <v>566</v>
      </c>
      <c r="D135" s="29">
        <v>2017.4</v>
      </c>
      <c r="E135" s="29">
        <v>2025</v>
      </c>
      <c r="F135" s="29">
        <v>7.58</v>
      </c>
    </row>
    <row r="136" spans="1:6" ht="15" customHeight="1" x14ac:dyDescent="0.2">
      <c r="A136" s="8" t="s">
        <v>693</v>
      </c>
      <c r="B136" s="8" t="s">
        <v>621</v>
      </c>
      <c r="C136" s="8" t="s">
        <v>566</v>
      </c>
      <c r="D136" s="29">
        <v>2017.6</v>
      </c>
      <c r="E136" s="29">
        <v>2023</v>
      </c>
      <c r="F136" s="29">
        <v>5.42</v>
      </c>
    </row>
    <row r="137" spans="1:6" ht="15" customHeight="1" x14ac:dyDescent="0.2">
      <c r="A137" s="8" t="s">
        <v>694</v>
      </c>
      <c r="B137" s="8" t="s">
        <v>621</v>
      </c>
      <c r="C137" s="8" t="s">
        <v>566</v>
      </c>
      <c r="D137" s="29">
        <v>2017.6</v>
      </c>
      <c r="E137" s="29">
        <v>2024</v>
      </c>
      <c r="F137" s="29">
        <v>6.42</v>
      </c>
    </row>
    <row r="138" spans="1:6" ht="15" customHeight="1" x14ac:dyDescent="0.2">
      <c r="A138" s="8" t="s">
        <v>695</v>
      </c>
      <c r="B138" s="8" t="s">
        <v>621</v>
      </c>
      <c r="C138" s="8" t="s">
        <v>566</v>
      </c>
      <c r="D138" s="29">
        <v>2017.8</v>
      </c>
      <c r="E138" s="29">
        <v>2024</v>
      </c>
      <c r="F138" s="29">
        <v>6.25</v>
      </c>
    </row>
    <row r="139" spans="1:6" ht="15" customHeight="1" x14ac:dyDescent="0.2">
      <c r="A139" s="8" t="s">
        <v>696</v>
      </c>
      <c r="B139" s="8" t="s">
        <v>621</v>
      </c>
      <c r="C139" s="8" t="s">
        <v>566</v>
      </c>
      <c r="D139" s="29">
        <v>2017.9</v>
      </c>
      <c r="E139" s="29">
        <v>2023.2</v>
      </c>
      <c r="F139" s="29">
        <v>5.33</v>
      </c>
    </row>
    <row r="140" spans="1:6" ht="15" customHeight="1" x14ac:dyDescent="0.2">
      <c r="A140" s="8" t="s">
        <v>650</v>
      </c>
      <c r="B140" s="8" t="s">
        <v>621</v>
      </c>
      <c r="C140" s="8" t="s">
        <v>566</v>
      </c>
      <c r="D140" s="29">
        <v>2018.1</v>
      </c>
      <c r="E140" s="29">
        <v>2023</v>
      </c>
      <c r="F140" s="29">
        <v>4.92</v>
      </c>
    </row>
    <row r="141" spans="1:6" ht="15" customHeight="1" x14ac:dyDescent="0.2">
      <c r="A141" s="8" t="s">
        <v>697</v>
      </c>
      <c r="B141" s="8" t="s">
        <v>621</v>
      </c>
      <c r="C141" s="8" t="s">
        <v>566</v>
      </c>
      <c r="D141" s="29">
        <v>2018.2</v>
      </c>
      <c r="E141" s="29">
        <v>2024.2</v>
      </c>
      <c r="F141" s="29">
        <v>6</v>
      </c>
    </row>
    <row r="142" spans="1:6" ht="15" customHeight="1" x14ac:dyDescent="0.2">
      <c r="A142" s="8" t="s">
        <v>698</v>
      </c>
      <c r="B142" s="8" t="s">
        <v>621</v>
      </c>
      <c r="C142" s="8" t="s">
        <v>566</v>
      </c>
      <c r="D142" s="29">
        <v>2018.2</v>
      </c>
      <c r="E142" s="29">
        <v>2024</v>
      </c>
      <c r="F142" s="29">
        <v>5.83</v>
      </c>
    </row>
    <row r="143" spans="1:6" ht="15" customHeight="1" x14ac:dyDescent="0.2">
      <c r="A143" s="8" t="s">
        <v>699</v>
      </c>
      <c r="B143" s="8" t="s">
        <v>621</v>
      </c>
      <c r="C143" s="8" t="s">
        <v>566</v>
      </c>
      <c r="D143" s="29">
        <v>2018.2</v>
      </c>
      <c r="E143" s="29">
        <v>2024.8</v>
      </c>
      <c r="F143" s="29">
        <v>6.67</v>
      </c>
    </row>
    <row r="144" spans="1:6" ht="15" customHeight="1" x14ac:dyDescent="0.2">
      <c r="A144" s="8" t="s">
        <v>700</v>
      </c>
      <c r="B144" s="8" t="s">
        <v>621</v>
      </c>
      <c r="C144" s="8" t="s">
        <v>566</v>
      </c>
      <c r="D144" s="29">
        <v>2018.4</v>
      </c>
      <c r="E144" s="29">
        <v>2023</v>
      </c>
      <c r="F144" s="29">
        <v>4.58</v>
      </c>
    </row>
    <row r="145" spans="1:6" ht="15" customHeight="1" x14ac:dyDescent="0.2">
      <c r="A145" s="8" t="s">
        <v>701</v>
      </c>
      <c r="B145" s="8" t="s">
        <v>621</v>
      </c>
      <c r="C145" s="8" t="s">
        <v>566</v>
      </c>
      <c r="D145" s="29">
        <v>2018.4</v>
      </c>
      <c r="E145" s="29">
        <v>2023.1</v>
      </c>
      <c r="F145" s="29">
        <v>4.67</v>
      </c>
    </row>
    <row r="146" spans="1:6" ht="15" customHeight="1" x14ac:dyDescent="0.2">
      <c r="A146" s="8" t="s">
        <v>702</v>
      </c>
      <c r="B146" s="8" t="s">
        <v>621</v>
      </c>
      <c r="C146" s="8" t="s">
        <v>566</v>
      </c>
      <c r="D146" s="29">
        <v>2018.4</v>
      </c>
      <c r="E146" s="29">
        <v>2023.4</v>
      </c>
      <c r="F146" s="29">
        <v>5</v>
      </c>
    </row>
    <row r="147" spans="1:6" ht="15" customHeight="1" x14ac:dyDescent="0.2">
      <c r="A147" s="8" t="s">
        <v>703</v>
      </c>
      <c r="B147" s="8" t="s">
        <v>621</v>
      </c>
      <c r="C147" s="8" t="s">
        <v>566</v>
      </c>
      <c r="D147" s="29">
        <v>2018.4</v>
      </c>
      <c r="E147" s="29">
        <v>2024.8</v>
      </c>
      <c r="F147" s="29">
        <v>6.42</v>
      </c>
    </row>
    <row r="148" spans="1:6" ht="15" customHeight="1" x14ac:dyDescent="0.2">
      <c r="A148" s="8" t="s">
        <v>704</v>
      </c>
      <c r="B148" s="8" t="s">
        <v>621</v>
      </c>
      <c r="C148" s="8" t="s">
        <v>566</v>
      </c>
      <c r="D148" s="29">
        <v>2018.4</v>
      </c>
      <c r="E148" s="29">
        <v>2022</v>
      </c>
      <c r="F148" s="29">
        <v>3.58</v>
      </c>
    </row>
    <row r="149" spans="1:6" ht="15" customHeight="1" x14ac:dyDescent="0.2">
      <c r="A149" s="8" t="s">
        <v>705</v>
      </c>
      <c r="B149" s="8" t="s">
        <v>621</v>
      </c>
      <c r="C149" s="8" t="s">
        <v>566</v>
      </c>
      <c r="D149" s="29">
        <v>2018.5</v>
      </c>
      <c r="E149" s="29">
        <v>2024</v>
      </c>
      <c r="F149" s="29">
        <v>5.5</v>
      </c>
    </row>
    <row r="150" spans="1:6" ht="15" customHeight="1" x14ac:dyDescent="0.2">
      <c r="A150" s="8" t="s">
        <v>706</v>
      </c>
      <c r="B150" s="8" t="s">
        <v>621</v>
      </c>
      <c r="C150" s="8" t="s">
        <v>566</v>
      </c>
      <c r="D150" s="29">
        <v>2018.5</v>
      </c>
      <c r="E150" s="29">
        <v>2025</v>
      </c>
      <c r="F150" s="29">
        <v>6.5</v>
      </c>
    </row>
    <row r="151" spans="1:6" ht="15" customHeight="1" x14ac:dyDescent="0.2">
      <c r="A151" s="8" t="s">
        <v>707</v>
      </c>
      <c r="B151" s="8" t="s">
        <v>621</v>
      </c>
      <c r="C151" s="8" t="s">
        <v>566</v>
      </c>
      <c r="D151" s="29">
        <v>2018.8</v>
      </c>
      <c r="E151" s="29">
        <v>2023</v>
      </c>
      <c r="F151" s="29">
        <v>4.25</v>
      </c>
    </row>
    <row r="152" spans="1:6" ht="15" customHeight="1" x14ac:dyDescent="0.2">
      <c r="A152" s="8" t="s">
        <v>708</v>
      </c>
      <c r="B152" s="8" t="s">
        <v>621</v>
      </c>
      <c r="C152" s="8" t="s">
        <v>566</v>
      </c>
      <c r="D152" s="29">
        <v>2018.9</v>
      </c>
      <c r="E152" s="29">
        <v>2022</v>
      </c>
      <c r="F152" s="29">
        <v>3.08</v>
      </c>
    </row>
    <row r="153" spans="1:6" ht="15" customHeight="1" x14ac:dyDescent="0.2">
      <c r="A153" s="8" t="s">
        <v>709</v>
      </c>
      <c r="B153" s="8" t="s">
        <v>621</v>
      </c>
      <c r="C153" s="8" t="s">
        <v>566</v>
      </c>
      <c r="D153" s="29">
        <v>2018.9</v>
      </c>
      <c r="E153" s="29">
        <v>2024.2</v>
      </c>
      <c r="F153" s="29">
        <v>5.25</v>
      </c>
    </row>
    <row r="154" spans="1:6" ht="15" customHeight="1" x14ac:dyDescent="0.2">
      <c r="A154" s="8" t="s">
        <v>710</v>
      </c>
      <c r="B154" s="8" t="s">
        <v>621</v>
      </c>
      <c r="C154" s="8" t="s">
        <v>566</v>
      </c>
      <c r="D154" s="29">
        <v>2018.9</v>
      </c>
      <c r="E154" s="29">
        <v>2021.3</v>
      </c>
      <c r="F154" s="29">
        <v>2.42</v>
      </c>
    </row>
    <row r="155" spans="1:6" ht="15" customHeight="1" x14ac:dyDescent="0.2">
      <c r="A155" s="8" t="s">
        <v>711</v>
      </c>
      <c r="B155" s="8" t="s">
        <v>621</v>
      </c>
      <c r="C155" s="8" t="s">
        <v>566</v>
      </c>
      <c r="D155" s="29">
        <v>2018.9</v>
      </c>
      <c r="E155" s="29">
        <v>2024.2</v>
      </c>
      <c r="F155" s="29">
        <v>5.25</v>
      </c>
    </row>
    <row r="156" spans="1:6" ht="15" customHeight="1" x14ac:dyDescent="0.2">
      <c r="A156" s="8" t="s">
        <v>712</v>
      </c>
      <c r="B156" s="8" t="s">
        <v>621</v>
      </c>
      <c r="C156" s="8" t="s">
        <v>562</v>
      </c>
      <c r="D156" s="29">
        <v>2019.1</v>
      </c>
      <c r="E156" s="29">
        <v>2022.4</v>
      </c>
      <c r="F156" s="29">
        <v>3.33</v>
      </c>
    </row>
    <row r="157" spans="1:6" ht="15" customHeight="1" x14ac:dyDescent="0.2">
      <c r="A157" s="8" t="s">
        <v>713</v>
      </c>
      <c r="B157" s="8" t="s">
        <v>621</v>
      </c>
      <c r="C157" s="8" t="s">
        <v>566</v>
      </c>
      <c r="D157" s="29">
        <v>2019.1</v>
      </c>
      <c r="E157" s="29">
        <v>2025</v>
      </c>
      <c r="F157" s="29">
        <v>5.92</v>
      </c>
    </row>
    <row r="158" spans="1:6" ht="15" customHeight="1" x14ac:dyDescent="0.2">
      <c r="A158" s="8" t="s">
        <v>714</v>
      </c>
      <c r="B158" s="8" t="s">
        <v>621</v>
      </c>
      <c r="C158" s="8" t="s">
        <v>566</v>
      </c>
      <c r="D158" s="29">
        <v>2019.1</v>
      </c>
      <c r="E158" s="29">
        <v>2023.1</v>
      </c>
      <c r="F158" s="29">
        <v>4</v>
      </c>
    </row>
    <row r="159" spans="1:6" ht="15" customHeight="1" x14ac:dyDescent="0.2">
      <c r="A159" s="8" t="s">
        <v>715</v>
      </c>
      <c r="B159" s="8" t="s">
        <v>621</v>
      </c>
      <c r="C159" s="8" t="s">
        <v>566</v>
      </c>
      <c r="D159" s="29">
        <v>2019.3</v>
      </c>
      <c r="E159" s="29">
        <v>2023</v>
      </c>
      <c r="F159" s="29">
        <v>3.67</v>
      </c>
    </row>
    <row r="160" spans="1:6" ht="15" customHeight="1" x14ac:dyDescent="0.2">
      <c r="A160" s="8" t="s">
        <v>716</v>
      </c>
      <c r="B160" s="8" t="s">
        <v>621</v>
      </c>
      <c r="C160" s="8" t="s">
        <v>566</v>
      </c>
      <c r="D160" s="29">
        <v>2019.4</v>
      </c>
      <c r="E160" s="29">
        <v>2023.1</v>
      </c>
      <c r="F160" s="29">
        <v>3.67</v>
      </c>
    </row>
    <row r="161" spans="1:6" ht="15" customHeight="1" x14ac:dyDescent="0.2">
      <c r="A161" s="8" t="s">
        <v>717</v>
      </c>
      <c r="B161" s="8" t="s">
        <v>621</v>
      </c>
      <c r="C161" s="8" t="s">
        <v>566</v>
      </c>
      <c r="D161" s="29">
        <v>2019.4</v>
      </c>
      <c r="E161" s="29">
        <v>2024</v>
      </c>
      <c r="F161" s="29">
        <v>4.58</v>
      </c>
    </row>
    <row r="162" spans="1:6" ht="15" customHeight="1" x14ac:dyDescent="0.2">
      <c r="A162" s="8" t="s">
        <v>718</v>
      </c>
      <c r="B162" s="8" t="s">
        <v>621</v>
      </c>
      <c r="C162" s="8" t="s">
        <v>562</v>
      </c>
      <c r="D162" s="29">
        <v>2019.5</v>
      </c>
      <c r="E162" s="29">
        <v>2021.9</v>
      </c>
      <c r="F162" s="29">
        <v>2.42</v>
      </c>
    </row>
    <row r="163" spans="1:6" ht="15" customHeight="1" x14ac:dyDescent="0.2">
      <c r="A163" s="8" t="s">
        <v>719</v>
      </c>
      <c r="B163" s="8" t="s">
        <v>621</v>
      </c>
      <c r="C163" s="8" t="s">
        <v>566</v>
      </c>
      <c r="D163" s="29">
        <v>2019.7</v>
      </c>
      <c r="E163" s="29">
        <v>2024.2</v>
      </c>
      <c r="F163" s="29">
        <v>4.5</v>
      </c>
    </row>
    <row r="164" spans="1:6" ht="15" customHeight="1" x14ac:dyDescent="0.2">
      <c r="A164" s="8" t="s">
        <v>720</v>
      </c>
      <c r="B164" s="8" t="s">
        <v>621</v>
      </c>
      <c r="C164" s="8" t="s">
        <v>566</v>
      </c>
      <c r="D164" s="29">
        <v>2019.7</v>
      </c>
      <c r="E164" s="29">
        <v>2024.9</v>
      </c>
      <c r="F164" s="29">
        <v>5.25</v>
      </c>
    </row>
    <row r="165" spans="1:6" ht="15" customHeight="1" x14ac:dyDescent="0.2">
      <c r="A165" s="8" t="s">
        <v>721</v>
      </c>
      <c r="B165" s="8" t="s">
        <v>621</v>
      </c>
      <c r="C165" s="8" t="s">
        <v>564</v>
      </c>
      <c r="D165" s="29">
        <v>2019.8</v>
      </c>
      <c r="E165" s="29">
        <v>2021.8</v>
      </c>
      <c r="F165" s="29">
        <v>2.08</v>
      </c>
    </row>
    <row r="166" spans="1:6" ht="15" customHeight="1" x14ac:dyDescent="0.2">
      <c r="A166" s="8" t="s">
        <v>722</v>
      </c>
      <c r="B166" s="8" t="s">
        <v>621</v>
      </c>
      <c r="C166" s="8" t="s">
        <v>566</v>
      </c>
      <c r="D166" s="29">
        <v>2019.8</v>
      </c>
      <c r="E166" s="29">
        <v>2024.2</v>
      </c>
      <c r="F166" s="29">
        <v>4.33</v>
      </c>
    </row>
    <row r="167" spans="1:6" ht="15" customHeight="1" x14ac:dyDescent="0.2">
      <c r="A167" s="8" t="s">
        <v>723</v>
      </c>
      <c r="B167" s="8" t="s">
        <v>621</v>
      </c>
      <c r="C167" s="8" t="s">
        <v>566</v>
      </c>
      <c r="D167" s="29">
        <v>2019.8</v>
      </c>
      <c r="E167" s="29">
        <v>2024.8</v>
      </c>
      <c r="F167" s="29">
        <v>5</v>
      </c>
    </row>
    <row r="168" spans="1:6" ht="15" customHeight="1" x14ac:dyDescent="0.2">
      <c r="A168" s="8" t="s">
        <v>724</v>
      </c>
      <c r="B168" s="8" t="s">
        <v>621</v>
      </c>
      <c r="C168" s="8" t="s">
        <v>566</v>
      </c>
      <c r="D168" s="29">
        <v>2019.8</v>
      </c>
      <c r="E168" s="29">
        <v>2024.2</v>
      </c>
      <c r="F168" s="29">
        <v>4.33</v>
      </c>
    </row>
    <row r="169" spans="1:6" ht="15" customHeight="1" x14ac:dyDescent="0.2">
      <c r="A169" s="8" t="s">
        <v>725</v>
      </c>
      <c r="B169" s="8" t="s">
        <v>621</v>
      </c>
      <c r="C169" s="8" t="s">
        <v>566</v>
      </c>
      <c r="D169" s="29">
        <v>2019.8</v>
      </c>
      <c r="E169" s="29">
        <v>2025</v>
      </c>
      <c r="F169" s="29">
        <v>5.17</v>
      </c>
    </row>
    <row r="170" spans="1:6" ht="15" customHeight="1" x14ac:dyDescent="0.2">
      <c r="A170" s="8" t="s">
        <v>726</v>
      </c>
      <c r="B170" s="8" t="s">
        <v>621</v>
      </c>
      <c r="C170" s="8" t="s">
        <v>566</v>
      </c>
      <c r="D170" s="29">
        <v>2019.9</v>
      </c>
      <c r="E170" s="29">
        <v>2023</v>
      </c>
      <c r="F170" s="29">
        <v>3.08</v>
      </c>
    </row>
    <row r="171" spans="1:6" ht="15" customHeight="1" x14ac:dyDescent="0.2">
      <c r="A171" s="8" t="s">
        <v>727</v>
      </c>
      <c r="B171" s="8" t="s">
        <v>621</v>
      </c>
      <c r="C171" s="8" t="s">
        <v>566</v>
      </c>
      <c r="D171" s="29">
        <v>2020.1</v>
      </c>
      <c r="E171" s="29">
        <v>2023</v>
      </c>
      <c r="F171" s="29">
        <v>2.92</v>
      </c>
    </row>
    <row r="172" spans="1:6" ht="15" customHeight="1" x14ac:dyDescent="0.2">
      <c r="A172" s="8" t="s">
        <v>728</v>
      </c>
      <c r="B172" s="8" t="s">
        <v>621</v>
      </c>
      <c r="C172" s="8" t="s">
        <v>566</v>
      </c>
      <c r="D172" s="29">
        <v>2020.1</v>
      </c>
      <c r="E172" s="29">
        <v>2024.2</v>
      </c>
      <c r="F172" s="29">
        <v>4.08</v>
      </c>
    </row>
    <row r="173" spans="1:6" ht="15" customHeight="1" x14ac:dyDescent="0.2">
      <c r="A173" s="8" t="s">
        <v>729</v>
      </c>
      <c r="B173" s="8" t="s">
        <v>621</v>
      </c>
      <c r="C173" s="8" t="s">
        <v>566</v>
      </c>
      <c r="D173" s="29">
        <v>2020.1</v>
      </c>
      <c r="E173" s="29">
        <v>2024.2</v>
      </c>
      <c r="F173" s="29">
        <v>4.08</v>
      </c>
    </row>
    <row r="174" spans="1:6" ht="15" customHeight="1" x14ac:dyDescent="0.2">
      <c r="A174" s="8" t="s">
        <v>730</v>
      </c>
      <c r="B174" s="8" t="s">
        <v>621</v>
      </c>
      <c r="C174" s="8" t="s">
        <v>564</v>
      </c>
      <c r="D174" s="29">
        <v>2020.1</v>
      </c>
      <c r="E174" s="29">
        <v>2021.8</v>
      </c>
      <c r="F174" s="29">
        <v>1.75</v>
      </c>
    </row>
    <row r="175" spans="1:6" ht="15" customHeight="1" x14ac:dyDescent="0.2">
      <c r="A175" s="8" t="s">
        <v>731</v>
      </c>
      <c r="B175" s="8" t="s">
        <v>621</v>
      </c>
      <c r="C175" s="8" t="s">
        <v>564</v>
      </c>
      <c r="D175" s="29">
        <v>2020.1</v>
      </c>
      <c r="E175" s="29">
        <v>2021.8</v>
      </c>
      <c r="F175" s="29">
        <v>1.75</v>
      </c>
    </row>
    <row r="176" spans="1:6" ht="15" customHeight="1" x14ac:dyDescent="0.2">
      <c r="A176" s="8" t="s">
        <v>732</v>
      </c>
      <c r="B176" s="8" t="s">
        <v>621</v>
      </c>
      <c r="C176" s="8" t="s">
        <v>566</v>
      </c>
      <c r="D176" s="29">
        <v>2020.1</v>
      </c>
      <c r="E176" s="29">
        <v>2025</v>
      </c>
      <c r="F176" s="29">
        <v>4.92</v>
      </c>
    </row>
    <row r="177" spans="1:6" ht="15" customHeight="1" x14ac:dyDescent="0.2">
      <c r="A177" s="8" t="s">
        <v>733</v>
      </c>
      <c r="B177" s="8" t="s">
        <v>621</v>
      </c>
      <c r="C177" s="8" t="s">
        <v>566</v>
      </c>
      <c r="D177" s="29">
        <v>2020.1</v>
      </c>
      <c r="E177" s="29">
        <v>2024.8</v>
      </c>
      <c r="F177" s="29">
        <v>4.75</v>
      </c>
    </row>
    <row r="178" spans="1:6" ht="15" customHeight="1" x14ac:dyDescent="0.2">
      <c r="A178" s="8" t="s">
        <v>734</v>
      </c>
      <c r="B178" s="8" t="s">
        <v>621</v>
      </c>
      <c r="C178" s="8" t="s">
        <v>566</v>
      </c>
      <c r="D178" s="29">
        <v>2020.1</v>
      </c>
      <c r="E178" s="29">
        <v>2023.2</v>
      </c>
      <c r="F178" s="29">
        <v>3.17</v>
      </c>
    </row>
    <row r="179" spans="1:6" ht="15" customHeight="1" x14ac:dyDescent="0.2">
      <c r="A179" s="8" t="s">
        <v>735</v>
      </c>
      <c r="B179" s="8" t="s">
        <v>621</v>
      </c>
      <c r="C179" s="8" t="s">
        <v>566</v>
      </c>
      <c r="D179" s="29">
        <v>2020.2</v>
      </c>
      <c r="E179" s="29">
        <v>2024</v>
      </c>
      <c r="F179" s="29">
        <v>3.75</v>
      </c>
    </row>
    <row r="180" spans="1:6" ht="15" customHeight="1" x14ac:dyDescent="0.2">
      <c r="A180" s="8" t="s">
        <v>736</v>
      </c>
      <c r="B180" s="8" t="s">
        <v>621</v>
      </c>
      <c r="C180" s="8" t="s">
        <v>566</v>
      </c>
      <c r="D180" s="29">
        <v>2020.5</v>
      </c>
      <c r="E180" s="29">
        <v>2024</v>
      </c>
      <c r="F180" s="29">
        <v>3.5</v>
      </c>
    </row>
    <row r="181" spans="1:6" ht="15" customHeight="1" x14ac:dyDescent="0.2">
      <c r="A181" s="8" t="s">
        <v>737</v>
      </c>
      <c r="B181" s="8" t="s">
        <v>621</v>
      </c>
      <c r="C181" s="8" t="s">
        <v>566</v>
      </c>
      <c r="D181" s="29">
        <v>2020.5</v>
      </c>
      <c r="E181" s="29">
        <v>2025</v>
      </c>
      <c r="F181" s="29">
        <v>4.5</v>
      </c>
    </row>
    <row r="182" spans="1:6" ht="15" customHeight="1" x14ac:dyDescent="0.2">
      <c r="A182" s="8" t="s">
        <v>738</v>
      </c>
      <c r="B182" s="8" t="s">
        <v>621</v>
      </c>
      <c r="C182" s="8" t="s">
        <v>566</v>
      </c>
      <c r="D182" s="29">
        <v>2020.5</v>
      </c>
      <c r="E182" s="29">
        <v>2024.8</v>
      </c>
      <c r="F182" s="29">
        <v>4.33</v>
      </c>
    </row>
    <row r="183" spans="1:6" ht="15" customHeight="1" x14ac:dyDescent="0.2">
      <c r="A183" s="8" t="s">
        <v>739</v>
      </c>
      <c r="B183" s="8" t="s">
        <v>621</v>
      </c>
      <c r="C183" s="8" t="s">
        <v>566</v>
      </c>
      <c r="D183" s="29">
        <v>2020.5</v>
      </c>
      <c r="E183" s="29">
        <v>2024.8</v>
      </c>
      <c r="F183" s="29">
        <v>4.33</v>
      </c>
    </row>
    <row r="184" spans="1:6" ht="15" customHeight="1" x14ac:dyDescent="0.2">
      <c r="A184" s="8" t="s">
        <v>740</v>
      </c>
      <c r="B184" s="8" t="s">
        <v>621</v>
      </c>
      <c r="C184" s="8" t="s">
        <v>566</v>
      </c>
      <c r="D184" s="29">
        <v>2020.5</v>
      </c>
      <c r="E184" s="29">
        <v>2025</v>
      </c>
      <c r="F184" s="29">
        <v>4.5</v>
      </c>
    </row>
    <row r="185" spans="1:6" ht="15" customHeight="1" x14ac:dyDescent="0.2">
      <c r="A185" s="8" t="s">
        <v>741</v>
      </c>
      <c r="B185" s="8" t="s">
        <v>621</v>
      </c>
      <c r="C185" s="8" t="s">
        <v>566</v>
      </c>
      <c r="D185" s="29">
        <v>2020.5</v>
      </c>
      <c r="E185" s="29">
        <v>2025</v>
      </c>
      <c r="F185" s="29">
        <v>4.5</v>
      </c>
    </row>
    <row r="186" spans="1:6" ht="15" customHeight="1" x14ac:dyDescent="0.2">
      <c r="A186" s="8" t="s">
        <v>742</v>
      </c>
      <c r="B186" s="8" t="s">
        <v>621</v>
      </c>
      <c r="C186" s="8" t="s">
        <v>562</v>
      </c>
      <c r="D186" s="29">
        <v>2020.7</v>
      </c>
      <c r="E186" s="29">
        <v>2024.3</v>
      </c>
      <c r="F186" s="29">
        <v>3.67</v>
      </c>
    </row>
    <row r="187" spans="1:6" ht="15" customHeight="1" x14ac:dyDescent="0.2">
      <c r="A187" s="8" t="s">
        <v>743</v>
      </c>
      <c r="B187" s="8" t="s">
        <v>621</v>
      </c>
      <c r="C187" s="8" t="s">
        <v>562</v>
      </c>
      <c r="D187" s="29">
        <v>2020.7</v>
      </c>
      <c r="E187" s="29">
        <v>2025.2</v>
      </c>
      <c r="F187" s="29">
        <v>4.5</v>
      </c>
    </row>
    <row r="188" spans="1:6" ht="15" customHeight="1" x14ac:dyDescent="0.2">
      <c r="A188" s="8" t="s">
        <v>744</v>
      </c>
      <c r="B188" s="8" t="s">
        <v>621</v>
      </c>
      <c r="C188" s="8" t="s">
        <v>566</v>
      </c>
      <c r="D188" s="29">
        <v>2021</v>
      </c>
      <c r="E188" s="29">
        <v>2023.2</v>
      </c>
      <c r="F188" s="29">
        <v>2.25</v>
      </c>
    </row>
    <row r="189" spans="1:6" ht="15" customHeight="1" x14ac:dyDescent="0.2">
      <c r="A189" s="8" t="s">
        <v>745</v>
      </c>
      <c r="B189" s="8" t="s">
        <v>621</v>
      </c>
      <c r="C189" s="8" t="s">
        <v>566</v>
      </c>
      <c r="D189" s="29">
        <v>2021.3</v>
      </c>
      <c r="E189" s="29">
        <v>2025</v>
      </c>
      <c r="F189" s="29">
        <v>3.67</v>
      </c>
    </row>
    <row r="190" spans="1:6" ht="15" customHeight="1" x14ac:dyDescent="0.2">
      <c r="A190" s="8" t="s">
        <v>746</v>
      </c>
      <c r="B190" s="8" t="s">
        <v>621</v>
      </c>
      <c r="C190" s="8" t="s">
        <v>566</v>
      </c>
      <c r="D190" s="29">
        <v>2021.6</v>
      </c>
      <c r="E190" s="29">
        <v>2024.9</v>
      </c>
      <c r="F190" s="29">
        <v>3.33</v>
      </c>
    </row>
    <row r="191" spans="1:6" ht="15" customHeight="1" x14ac:dyDescent="0.2">
      <c r="A191" s="8" t="s">
        <v>747</v>
      </c>
      <c r="B191" s="8" t="s">
        <v>621</v>
      </c>
      <c r="C191" s="8" t="s">
        <v>566</v>
      </c>
      <c r="D191" s="29">
        <v>2022.1</v>
      </c>
      <c r="E191" s="29">
        <v>2025</v>
      </c>
      <c r="F191" s="29">
        <v>2.92</v>
      </c>
    </row>
    <row r="192" spans="1:6" ht="15" customHeight="1" x14ac:dyDescent="0.2">
      <c r="A192" s="8" t="s">
        <v>748</v>
      </c>
      <c r="B192" s="8" t="s">
        <v>621</v>
      </c>
      <c r="C192" s="8" t="s">
        <v>566</v>
      </c>
      <c r="D192" s="29">
        <v>2022.3</v>
      </c>
      <c r="E192" s="29">
        <v>2024.9</v>
      </c>
      <c r="F192" s="29">
        <v>2.58</v>
      </c>
    </row>
    <row r="193" spans="1:6" ht="15" customHeight="1" x14ac:dyDescent="0.2">
      <c r="A193" s="8" t="s">
        <v>749</v>
      </c>
      <c r="B193" s="8" t="s">
        <v>750</v>
      </c>
      <c r="C193" s="8" t="s">
        <v>566</v>
      </c>
      <c r="D193" s="29">
        <v>2015.6</v>
      </c>
      <c r="E193" s="29">
        <v>2022.9</v>
      </c>
      <c r="F193" s="29">
        <v>7.33</v>
      </c>
    </row>
    <row r="194" spans="1:6" ht="15" customHeight="1" x14ac:dyDescent="0.2">
      <c r="A194" s="8" t="s">
        <v>751</v>
      </c>
      <c r="B194" s="8" t="s">
        <v>750</v>
      </c>
      <c r="C194" s="8" t="s">
        <v>566</v>
      </c>
      <c r="D194" s="29">
        <v>2015.6</v>
      </c>
      <c r="E194" s="29">
        <v>2022.9</v>
      </c>
      <c r="F194" s="29">
        <v>7.33</v>
      </c>
    </row>
    <row r="195" spans="1:6" ht="15" customHeight="1" x14ac:dyDescent="0.2">
      <c r="A195" s="8" t="s">
        <v>752</v>
      </c>
      <c r="B195" s="8" t="s">
        <v>750</v>
      </c>
      <c r="C195" s="8" t="s">
        <v>566</v>
      </c>
      <c r="D195" s="29">
        <v>2016.2</v>
      </c>
      <c r="E195" s="29">
        <v>2022.9</v>
      </c>
      <c r="F195" s="29">
        <v>6.75</v>
      </c>
    </row>
    <row r="196" spans="1:6" ht="15" customHeight="1" x14ac:dyDescent="0.2">
      <c r="A196" s="8" t="s">
        <v>753</v>
      </c>
      <c r="B196" s="8" t="s">
        <v>750</v>
      </c>
      <c r="C196" s="8" t="s">
        <v>566</v>
      </c>
      <c r="D196" s="29">
        <v>2016.2</v>
      </c>
      <c r="E196" s="29">
        <v>2022.9</v>
      </c>
      <c r="F196" s="29">
        <v>6.75</v>
      </c>
    </row>
    <row r="197" spans="1:6" ht="15" customHeight="1" x14ac:dyDescent="0.2">
      <c r="A197" s="8" t="s">
        <v>754</v>
      </c>
      <c r="B197" s="8" t="s">
        <v>750</v>
      </c>
      <c r="C197" s="8" t="s">
        <v>566</v>
      </c>
      <c r="D197" s="29">
        <v>2016.5</v>
      </c>
      <c r="E197" s="29">
        <v>2022.9</v>
      </c>
      <c r="F197" s="29">
        <v>6.42</v>
      </c>
    </row>
    <row r="198" spans="1:6" ht="15" customHeight="1" x14ac:dyDescent="0.2">
      <c r="A198" s="8" t="s">
        <v>755</v>
      </c>
      <c r="B198" s="8" t="s">
        <v>750</v>
      </c>
      <c r="C198" s="8" t="s">
        <v>566</v>
      </c>
      <c r="D198" s="29">
        <v>2017.3</v>
      </c>
      <c r="E198" s="29">
        <v>2022.9</v>
      </c>
      <c r="F198" s="29">
        <v>5.58</v>
      </c>
    </row>
    <row r="199" spans="1:6" ht="15" customHeight="1" x14ac:dyDescent="0.2">
      <c r="A199" s="8" t="s">
        <v>756</v>
      </c>
      <c r="B199" s="8" t="s">
        <v>757</v>
      </c>
      <c r="C199" s="8" t="s">
        <v>566</v>
      </c>
      <c r="D199" s="29">
        <v>2018.3</v>
      </c>
      <c r="E199" s="29">
        <v>2023.8</v>
      </c>
      <c r="F199" s="29">
        <v>5.5</v>
      </c>
    </row>
    <row r="200" spans="1:6" ht="15" customHeight="1" x14ac:dyDescent="0.2">
      <c r="A200" s="8" t="s">
        <v>758</v>
      </c>
      <c r="B200" s="8" t="s">
        <v>750</v>
      </c>
      <c r="C200" s="8" t="s">
        <v>759</v>
      </c>
      <c r="D200" s="29">
        <v>2019.1</v>
      </c>
      <c r="E200" s="29">
        <v>2023.8</v>
      </c>
      <c r="F200" s="29">
        <v>4.67</v>
      </c>
    </row>
    <row r="201" spans="1:6" ht="15" customHeight="1" x14ac:dyDescent="0.2">
      <c r="A201" s="8" t="s">
        <v>760</v>
      </c>
      <c r="B201" s="8" t="s">
        <v>750</v>
      </c>
      <c r="C201" s="8" t="s">
        <v>761</v>
      </c>
      <c r="D201" s="29">
        <v>2019.2</v>
      </c>
      <c r="E201" s="29">
        <v>2024.3</v>
      </c>
      <c r="F201" s="29">
        <v>5.17</v>
      </c>
    </row>
    <row r="202" spans="1:6" ht="15" customHeight="1" x14ac:dyDescent="0.2">
      <c r="A202" s="8" t="s">
        <v>762</v>
      </c>
      <c r="B202" s="8" t="s">
        <v>750</v>
      </c>
      <c r="C202" s="8" t="s">
        <v>761</v>
      </c>
      <c r="D202" s="29">
        <v>2019.2</v>
      </c>
      <c r="E202" s="29">
        <v>2023.4</v>
      </c>
      <c r="F202" s="29">
        <v>4.17</v>
      </c>
    </row>
    <row r="203" spans="1:6" ht="15" customHeight="1" x14ac:dyDescent="0.2">
      <c r="A203" s="8" t="s">
        <v>763</v>
      </c>
      <c r="B203" s="8" t="s">
        <v>750</v>
      </c>
      <c r="C203" s="8" t="s">
        <v>566</v>
      </c>
      <c r="D203" s="29">
        <v>2019.7</v>
      </c>
      <c r="E203" s="29">
        <v>2025.2</v>
      </c>
      <c r="F203" s="29">
        <v>5.5</v>
      </c>
    </row>
    <row r="204" spans="1:6" ht="15" customHeight="1" x14ac:dyDescent="0.2">
      <c r="A204" s="8" t="s">
        <v>764</v>
      </c>
      <c r="B204" s="8" t="s">
        <v>750</v>
      </c>
      <c r="C204" s="8" t="s">
        <v>765</v>
      </c>
      <c r="D204" s="29">
        <v>2020</v>
      </c>
      <c r="E204" s="29">
        <v>2024</v>
      </c>
      <c r="F204" s="29">
        <v>4</v>
      </c>
    </row>
    <row r="205" spans="1:6" ht="15" customHeight="1" x14ac:dyDescent="0.2">
      <c r="A205" s="8" t="s">
        <v>766</v>
      </c>
      <c r="B205" s="8" t="s">
        <v>750</v>
      </c>
      <c r="C205" s="8" t="s">
        <v>562</v>
      </c>
      <c r="D205" s="29">
        <v>2021.4</v>
      </c>
      <c r="E205" s="29">
        <v>2022.8</v>
      </c>
      <c r="F205" s="29">
        <v>1.42</v>
      </c>
    </row>
    <row r="206" spans="1:6" ht="15" customHeight="1" x14ac:dyDescent="0.2">
      <c r="A206" s="8" t="s">
        <v>767</v>
      </c>
      <c r="B206" s="8" t="s">
        <v>750</v>
      </c>
      <c r="C206" s="8" t="s">
        <v>564</v>
      </c>
      <c r="D206" s="29">
        <v>2021.8</v>
      </c>
      <c r="E206" s="29">
        <v>2023.5</v>
      </c>
      <c r="F206" s="29">
        <v>1.75</v>
      </c>
    </row>
    <row r="207" spans="1:6" ht="15" customHeight="1" x14ac:dyDescent="0.2">
      <c r="A207" s="8" t="s">
        <v>768</v>
      </c>
      <c r="B207" s="8" t="s">
        <v>750</v>
      </c>
      <c r="C207" s="8" t="s">
        <v>562</v>
      </c>
      <c r="D207" s="29">
        <v>2021.8</v>
      </c>
      <c r="E207" s="29">
        <v>2023.8</v>
      </c>
      <c r="F207" s="29">
        <v>2.08</v>
      </c>
    </row>
    <row r="208" spans="1:6" ht="15" customHeight="1" x14ac:dyDescent="0.2">
      <c r="A208" s="8" t="s">
        <v>769</v>
      </c>
      <c r="B208" s="8" t="s">
        <v>750</v>
      </c>
      <c r="C208" s="8" t="s">
        <v>564</v>
      </c>
      <c r="D208" s="29">
        <v>2021.9</v>
      </c>
      <c r="E208" s="29">
        <v>2025.2</v>
      </c>
      <c r="F208" s="29">
        <v>3.25</v>
      </c>
    </row>
    <row r="209" spans="1:6" ht="15" customHeight="1" x14ac:dyDescent="0.2">
      <c r="A209" s="8" t="s">
        <v>770</v>
      </c>
      <c r="B209" s="8" t="s">
        <v>750</v>
      </c>
      <c r="C209" s="8" t="s">
        <v>759</v>
      </c>
      <c r="D209" s="29">
        <v>2022.2</v>
      </c>
      <c r="E209" s="29">
        <v>2022.5</v>
      </c>
      <c r="F209" s="29">
        <v>0.25</v>
      </c>
    </row>
    <row r="210" spans="1:6" ht="15" customHeight="1" x14ac:dyDescent="0.2">
      <c r="A210" s="8" t="s">
        <v>771</v>
      </c>
      <c r="B210" s="8" t="s">
        <v>750</v>
      </c>
      <c r="C210" s="8" t="s">
        <v>564</v>
      </c>
      <c r="D210" s="29">
        <v>2022.3</v>
      </c>
      <c r="E210" s="29">
        <v>2025.4</v>
      </c>
      <c r="F210" s="29">
        <v>3.08</v>
      </c>
    </row>
    <row r="211" spans="1:6" ht="15" customHeight="1" x14ac:dyDescent="0.2">
      <c r="A211" s="8" t="s">
        <v>772</v>
      </c>
      <c r="B211" s="8" t="s">
        <v>750</v>
      </c>
      <c r="C211" s="8" t="s">
        <v>562</v>
      </c>
      <c r="D211" s="29">
        <v>2023.1</v>
      </c>
      <c r="E211" s="29">
        <v>2023.4</v>
      </c>
      <c r="F211" s="29">
        <v>0.33</v>
      </c>
    </row>
    <row r="212" spans="1:6" ht="15" customHeight="1" x14ac:dyDescent="0.2">
      <c r="A212" s="8" t="s">
        <v>773</v>
      </c>
      <c r="B212" s="8" t="s">
        <v>559</v>
      </c>
      <c r="C212" s="8" t="s">
        <v>566</v>
      </c>
      <c r="D212" s="29">
        <v>2012.8</v>
      </c>
      <c r="E212" s="29">
        <v>2024.6</v>
      </c>
      <c r="F212" s="29">
        <v>11.75</v>
      </c>
    </row>
    <row r="213" spans="1:6" ht="15" customHeight="1" x14ac:dyDescent="0.2">
      <c r="A213" s="8" t="s">
        <v>774</v>
      </c>
      <c r="B213" s="8" t="s">
        <v>775</v>
      </c>
      <c r="C213" s="8" t="s">
        <v>560</v>
      </c>
      <c r="D213" s="29">
        <v>2015.8</v>
      </c>
      <c r="E213" s="29">
        <v>2020.1</v>
      </c>
      <c r="F213" s="29">
        <v>4.25</v>
      </c>
    </row>
    <row r="214" spans="1:6" ht="15" customHeight="1" x14ac:dyDescent="0.2">
      <c r="A214" s="8" t="s">
        <v>776</v>
      </c>
      <c r="B214" s="8" t="s">
        <v>777</v>
      </c>
      <c r="C214" s="8" t="s">
        <v>560</v>
      </c>
      <c r="D214" s="29">
        <v>2007.1</v>
      </c>
      <c r="E214" s="29">
        <v>2019.9</v>
      </c>
      <c r="F214" s="29">
        <v>12.83</v>
      </c>
    </row>
    <row r="215" spans="1:6" ht="15" customHeight="1" x14ac:dyDescent="0.2">
      <c r="A215" s="8" t="s">
        <v>778</v>
      </c>
      <c r="B215" s="8" t="s">
        <v>779</v>
      </c>
      <c r="C215" s="8" t="s">
        <v>560</v>
      </c>
      <c r="D215" s="29">
        <v>2012</v>
      </c>
      <c r="E215" s="29">
        <v>2020.9</v>
      </c>
      <c r="F215" s="29">
        <v>8.92</v>
      </c>
    </row>
    <row r="216" spans="1:6" ht="15" customHeight="1" x14ac:dyDescent="0.2">
      <c r="A216" s="8" t="s">
        <v>780</v>
      </c>
      <c r="B216" s="8" t="s">
        <v>781</v>
      </c>
      <c r="C216" s="8" t="s">
        <v>560</v>
      </c>
      <c r="D216" s="29">
        <v>2009.2</v>
      </c>
      <c r="E216" s="29">
        <v>2019.7</v>
      </c>
      <c r="F216" s="29">
        <v>10.42</v>
      </c>
    </row>
    <row r="217" spans="1:6" ht="15" customHeight="1" x14ac:dyDescent="0.2">
      <c r="A217" s="8" t="s">
        <v>782</v>
      </c>
      <c r="B217" s="8" t="s">
        <v>783</v>
      </c>
      <c r="C217" s="8" t="s">
        <v>566</v>
      </c>
      <c r="D217" s="29">
        <v>2018.2</v>
      </c>
      <c r="E217" s="29">
        <v>2023.2</v>
      </c>
      <c r="F217" s="29">
        <v>5</v>
      </c>
    </row>
    <row r="218" spans="1:6" ht="15" customHeight="1" x14ac:dyDescent="0.2">
      <c r="A218" s="8" t="s">
        <v>784</v>
      </c>
      <c r="B218" s="8" t="s">
        <v>783</v>
      </c>
      <c r="C218" s="8" t="s">
        <v>566</v>
      </c>
      <c r="D218" s="29">
        <v>2018.2</v>
      </c>
      <c r="E218" s="29">
        <v>2023</v>
      </c>
      <c r="F218" s="29">
        <v>4.83</v>
      </c>
    </row>
    <row r="219" spans="1:6" ht="15" customHeight="1" x14ac:dyDescent="0.2">
      <c r="A219" s="8" t="s">
        <v>785</v>
      </c>
      <c r="B219" s="8" t="s">
        <v>783</v>
      </c>
      <c r="C219" s="8" t="s">
        <v>566</v>
      </c>
      <c r="D219" s="29">
        <v>2018.2</v>
      </c>
      <c r="E219" s="29">
        <v>2023.4</v>
      </c>
      <c r="F219" s="29">
        <v>5.25</v>
      </c>
    </row>
    <row r="220" spans="1:6" ht="15" customHeight="1" x14ac:dyDescent="0.2">
      <c r="A220" s="8" t="s">
        <v>786</v>
      </c>
      <c r="B220" s="8" t="s">
        <v>787</v>
      </c>
      <c r="C220" s="8" t="s">
        <v>560</v>
      </c>
      <c r="D220" s="29">
        <v>2018.2</v>
      </c>
      <c r="E220" s="29">
        <v>2022.3</v>
      </c>
      <c r="F220" s="29">
        <v>4.17</v>
      </c>
    </row>
    <row r="221" spans="1:6" ht="15" customHeight="1" x14ac:dyDescent="0.2">
      <c r="A221" s="8" t="s">
        <v>788</v>
      </c>
      <c r="B221" s="8" t="s">
        <v>789</v>
      </c>
      <c r="C221" s="8" t="s">
        <v>566</v>
      </c>
      <c r="D221" s="29">
        <v>2018.2</v>
      </c>
      <c r="E221" s="29">
        <v>2023</v>
      </c>
      <c r="F221" s="29">
        <v>4.83</v>
      </c>
    </row>
    <row r="222" spans="1:6" ht="15" customHeight="1" x14ac:dyDescent="0.2">
      <c r="A222" s="8" t="s">
        <v>790</v>
      </c>
      <c r="B222" s="8" t="s">
        <v>781</v>
      </c>
      <c r="C222" s="8" t="s">
        <v>560</v>
      </c>
      <c r="D222" s="29">
        <v>2018.2</v>
      </c>
      <c r="E222" s="29">
        <v>2022.5</v>
      </c>
      <c r="F222" s="29">
        <v>4.33</v>
      </c>
    </row>
    <row r="223" spans="1:6" ht="15" customHeight="1" x14ac:dyDescent="0.2">
      <c r="A223" s="8" t="s">
        <v>791</v>
      </c>
      <c r="B223" s="8" t="s">
        <v>787</v>
      </c>
      <c r="C223" s="8" t="s">
        <v>560</v>
      </c>
      <c r="D223" s="29">
        <v>2018.2</v>
      </c>
      <c r="E223" s="29">
        <v>2020.8</v>
      </c>
      <c r="F223" s="29">
        <v>2.58</v>
      </c>
    </row>
    <row r="224" spans="1:6" ht="15" customHeight="1" x14ac:dyDescent="0.2">
      <c r="A224" s="8" t="s">
        <v>792</v>
      </c>
      <c r="B224" s="8" t="s">
        <v>793</v>
      </c>
      <c r="C224" s="8" t="s">
        <v>566</v>
      </c>
      <c r="D224" s="29">
        <v>2018.2</v>
      </c>
      <c r="E224" s="29">
        <v>2020.5</v>
      </c>
      <c r="F224" s="29">
        <v>2.33</v>
      </c>
    </row>
    <row r="225" spans="1:6" ht="15" customHeight="1" x14ac:dyDescent="0.2">
      <c r="A225" s="8" t="s">
        <v>794</v>
      </c>
      <c r="B225" s="8" t="s">
        <v>795</v>
      </c>
      <c r="C225" s="8" t="s">
        <v>796</v>
      </c>
      <c r="D225" s="29">
        <v>2018.2</v>
      </c>
      <c r="E225" s="29">
        <v>2020.8</v>
      </c>
      <c r="F225" s="29">
        <v>2.58</v>
      </c>
    </row>
    <row r="226" spans="1:6" ht="15" customHeight="1" x14ac:dyDescent="0.2">
      <c r="A226" s="8" t="s">
        <v>797</v>
      </c>
      <c r="B226" s="8" t="s">
        <v>783</v>
      </c>
      <c r="C226" s="8" t="s">
        <v>566</v>
      </c>
      <c r="D226" s="29">
        <v>2018.2</v>
      </c>
      <c r="E226" s="29">
        <v>2022.4</v>
      </c>
      <c r="F226" s="29">
        <v>4.25</v>
      </c>
    </row>
    <row r="227" spans="1:6" ht="15" customHeight="1" x14ac:dyDescent="0.2">
      <c r="A227" s="8" t="s">
        <v>798</v>
      </c>
      <c r="B227" s="8" t="s">
        <v>781</v>
      </c>
      <c r="C227" s="8" t="s">
        <v>560</v>
      </c>
      <c r="D227" s="29">
        <v>2018.2</v>
      </c>
      <c r="E227" s="29">
        <v>2022.8</v>
      </c>
      <c r="F227" s="29">
        <v>4.58</v>
      </c>
    </row>
    <row r="228" spans="1:6" ht="15" customHeight="1" x14ac:dyDescent="0.2">
      <c r="A228" s="8" t="s">
        <v>799</v>
      </c>
      <c r="B228" s="8" t="s">
        <v>800</v>
      </c>
      <c r="C228" s="8" t="s">
        <v>566</v>
      </c>
      <c r="D228" s="29">
        <v>2018.2</v>
      </c>
      <c r="E228" s="29">
        <v>2024.8</v>
      </c>
      <c r="F228" s="29">
        <v>6.67</v>
      </c>
    </row>
    <row r="229" spans="1:6" ht="15" customHeight="1" x14ac:dyDescent="0.2">
      <c r="A229" s="8" t="s">
        <v>801</v>
      </c>
      <c r="B229" s="8" t="s">
        <v>779</v>
      </c>
      <c r="C229" s="8" t="s">
        <v>566</v>
      </c>
      <c r="D229" s="29">
        <v>2018.2</v>
      </c>
      <c r="E229" s="29">
        <v>2019.8</v>
      </c>
      <c r="F229" s="29">
        <v>1.58</v>
      </c>
    </row>
    <row r="230" spans="1:6" ht="15" customHeight="1" x14ac:dyDescent="0.2">
      <c r="A230" s="8" t="s">
        <v>802</v>
      </c>
      <c r="B230" s="8" t="s">
        <v>783</v>
      </c>
      <c r="C230" s="8" t="s">
        <v>566</v>
      </c>
      <c r="D230" s="29">
        <v>2018.2</v>
      </c>
      <c r="E230" s="29">
        <v>2022.4</v>
      </c>
      <c r="F230" s="29">
        <v>4.25</v>
      </c>
    </row>
    <row r="231" spans="1:6" ht="15" customHeight="1" x14ac:dyDescent="0.2">
      <c r="A231" s="8" t="s">
        <v>803</v>
      </c>
      <c r="B231" s="8" t="s">
        <v>779</v>
      </c>
      <c r="C231" s="8" t="s">
        <v>560</v>
      </c>
      <c r="D231" s="29">
        <v>2019.2</v>
      </c>
      <c r="E231" s="29">
        <v>2021.8</v>
      </c>
      <c r="F231" s="29">
        <v>2.58</v>
      </c>
    </row>
    <row r="232" spans="1:6" ht="15" customHeight="1" x14ac:dyDescent="0.2">
      <c r="A232" s="8" t="s">
        <v>804</v>
      </c>
      <c r="B232" s="8" t="s">
        <v>793</v>
      </c>
      <c r="C232" s="8" t="s">
        <v>566</v>
      </c>
      <c r="D232" s="29">
        <v>2019.2</v>
      </c>
      <c r="E232" s="29">
        <v>2023.7</v>
      </c>
      <c r="F232" s="29">
        <v>4.42</v>
      </c>
    </row>
    <row r="233" spans="1:6" ht="15" customHeight="1" x14ac:dyDescent="0.2">
      <c r="A233" s="8" t="s">
        <v>805</v>
      </c>
      <c r="B233" s="8" t="s">
        <v>806</v>
      </c>
      <c r="C233" s="8" t="s">
        <v>562</v>
      </c>
      <c r="D233" s="29">
        <v>2019.2</v>
      </c>
      <c r="E233" s="29">
        <v>2022.5</v>
      </c>
      <c r="F233" s="29">
        <v>3.25</v>
      </c>
    </row>
    <row r="234" spans="1:6" ht="15" customHeight="1" x14ac:dyDescent="0.2">
      <c r="A234" s="8" t="s">
        <v>807</v>
      </c>
      <c r="B234" s="8" t="s">
        <v>808</v>
      </c>
      <c r="C234" s="8" t="s">
        <v>566</v>
      </c>
      <c r="D234" s="29">
        <v>2019.2</v>
      </c>
      <c r="E234" s="29">
        <v>2023.9</v>
      </c>
      <c r="F234" s="29">
        <v>4.67</v>
      </c>
    </row>
    <row r="235" spans="1:6" ht="15" customHeight="1" x14ac:dyDescent="0.2">
      <c r="A235" s="8" t="s">
        <v>809</v>
      </c>
      <c r="B235" s="8" t="s">
        <v>783</v>
      </c>
      <c r="C235" s="8" t="s">
        <v>566</v>
      </c>
      <c r="D235" s="29">
        <v>2019.2</v>
      </c>
      <c r="E235" s="29">
        <v>2023.6</v>
      </c>
      <c r="F235" s="29">
        <v>4.33</v>
      </c>
    </row>
    <row r="236" spans="1:6" ht="15" customHeight="1" x14ac:dyDescent="0.2">
      <c r="A236" s="8" t="s">
        <v>810</v>
      </c>
      <c r="B236" s="8" t="s">
        <v>783</v>
      </c>
      <c r="C236" s="8" t="s">
        <v>566</v>
      </c>
      <c r="D236" s="29">
        <v>2019.2</v>
      </c>
      <c r="E236" s="29">
        <v>2023.3</v>
      </c>
      <c r="F236" s="29">
        <v>4.08</v>
      </c>
    </row>
    <row r="237" spans="1:6" ht="15" customHeight="1" x14ac:dyDescent="0.2">
      <c r="A237" s="8" t="s">
        <v>811</v>
      </c>
      <c r="B237" s="8" t="s">
        <v>779</v>
      </c>
      <c r="C237" s="8" t="s">
        <v>560</v>
      </c>
      <c r="D237" s="29">
        <v>2019.2</v>
      </c>
      <c r="E237" s="29">
        <v>2022.6</v>
      </c>
      <c r="F237" s="29">
        <v>3.33</v>
      </c>
    </row>
    <row r="238" spans="1:6" ht="15" customHeight="1" x14ac:dyDescent="0.2">
      <c r="A238" s="8" t="s">
        <v>812</v>
      </c>
      <c r="B238" s="8" t="s">
        <v>808</v>
      </c>
      <c r="C238" s="8" t="s">
        <v>761</v>
      </c>
      <c r="D238" s="29">
        <v>2019.2</v>
      </c>
      <c r="E238" s="29">
        <v>2024.4</v>
      </c>
      <c r="F238" s="29">
        <v>5.17</v>
      </c>
    </row>
    <row r="239" spans="1:6" ht="15" customHeight="1" x14ac:dyDescent="0.2">
      <c r="A239" s="8" t="s">
        <v>813</v>
      </c>
      <c r="B239" s="8" t="s">
        <v>808</v>
      </c>
      <c r="C239" s="8" t="s">
        <v>761</v>
      </c>
      <c r="D239" s="29">
        <v>2019.2</v>
      </c>
      <c r="E239" s="29">
        <v>2024.4</v>
      </c>
      <c r="F239" s="29">
        <v>5.17</v>
      </c>
    </row>
    <row r="240" spans="1:6" ht="15" customHeight="1" x14ac:dyDescent="0.2">
      <c r="A240" s="8" t="s">
        <v>814</v>
      </c>
      <c r="B240" s="8" t="s">
        <v>808</v>
      </c>
      <c r="C240" s="8" t="s">
        <v>761</v>
      </c>
      <c r="D240" s="29">
        <v>2019.2</v>
      </c>
      <c r="E240" s="29">
        <v>2024.4</v>
      </c>
      <c r="F240" s="29">
        <v>5.17</v>
      </c>
    </row>
    <row r="241" spans="1:6" ht="15" customHeight="1" x14ac:dyDescent="0.2">
      <c r="A241" s="8" t="s">
        <v>815</v>
      </c>
      <c r="B241" s="8" t="s">
        <v>806</v>
      </c>
      <c r="C241" s="8" t="s">
        <v>566</v>
      </c>
      <c r="D241" s="29">
        <v>2019.2</v>
      </c>
      <c r="E241" s="29">
        <v>2023.4</v>
      </c>
      <c r="F241" s="29">
        <v>4.17</v>
      </c>
    </row>
    <row r="242" spans="1:6" ht="15" customHeight="1" x14ac:dyDescent="0.2">
      <c r="A242" s="8" t="s">
        <v>816</v>
      </c>
      <c r="B242" s="8" t="s">
        <v>793</v>
      </c>
      <c r="C242" s="8" t="s">
        <v>566</v>
      </c>
      <c r="D242" s="29">
        <v>2019.2</v>
      </c>
      <c r="E242" s="29">
        <v>2023.4</v>
      </c>
      <c r="F242" s="29">
        <v>4.17</v>
      </c>
    </row>
    <row r="243" spans="1:6" ht="15" customHeight="1" x14ac:dyDescent="0.2">
      <c r="A243" s="8" t="s">
        <v>817</v>
      </c>
      <c r="B243" s="8" t="s">
        <v>793</v>
      </c>
      <c r="C243" s="8" t="s">
        <v>566</v>
      </c>
      <c r="D243" s="29">
        <v>2019.2</v>
      </c>
      <c r="E243" s="29">
        <v>2023.4</v>
      </c>
      <c r="F243" s="29">
        <v>4.17</v>
      </c>
    </row>
    <row r="244" spans="1:6" ht="15" customHeight="1" x14ac:dyDescent="0.2">
      <c r="A244" s="8" t="s">
        <v>818</v>
      </c>
      <c r="B244" s="8" t="s">
        <v>795</v>
      </c>
      <c r="C244" s="8" t="s">
        <v>566</v>
      </c>
      <c r="D244" s="29">
        <v>2019.2</v>
      </c>
      <c r="E244" s="29">
        <v>2023.2</v>
      </c>
      <c r="F244" s="29">
        <v>3.92</v>
      </c>
    </row>
    <row r="245" spans="1:6" ht="15" customHeight="1" x14ac:dyDescent="0.2">
      <c r="A245" s="8" t="s">
        <v>819</v>
      </c>
      <c r="B245" s="8" t="s">
        <v>808</v>
      </c>
      <c r="C245" s="8" t="s">
        <v>566</v>
      </c>
      <c r="D245" s="29">
        <v>2019.2</v>
      </c>
      <c r="E245" s="29">
        <v>2024.6</v>
      </c>
      <c r="F245" s="29">
        <v>5.33</v>
      </c>
    </row>
    <row r="246" spans="1:6" ht="15" customHeight="1" x14ac:dyDescent="0.2">
      <c r="A246" s="8" t="s">
        <v>820</v>
      </c>
      <c r="B246" s="8" t="s">
        <v>779</v>
      </c>
      <c r="C246" s="8" t="s">
        <v>566</v>
      </c>
      <c r="D246" s="29">
        <v>2019.2</v>
      </c>
      <c r="E246" s="29">
        <v>2024.2</v>
      </c>
      <c r="F246" s="29">
        <v>5</v>
      </c>
    </row>
    <row r="247" spans="1:6" ht="15" customHeight="1" x14ac:dyDescent="0.2">
      <c r="A247" s="8" t="s">
        <v>821</v>
      </c>
      <c r="B247" s="8" t="s">
        <v>795</v>
      </c>
      <c r="C247" s="8" t="s">
        <v>562</v>
      </c>
      <c r="D247" s="29">
        <v>2019.2</v>
      </c>
      <c r="E247" s="29">
        <v>2022.3</v>
      </c>
      <c r="F247" s="29">
        <v>3.08</v>
      </c>
    </row>
    <row r="248" spans="1:6" ht="15" customHeight="1" x14ac:dyDescent="0.2">
      <c r="A248" s="8" t="s">
        <v>822</v>
      </c>
      <c r="B248" s="8" t="s">
        <v>795</v>
      </c>
      <c r="C248" s="8" t="s">
        <v>566</v>
      </c>
      <c r="D248" s="29">
        <v>2019.2</v>
      </c>
      <c r="E248" s="29">
        <v>2024.2</v>
      </c>
      <c r="F248" s="29">
        <v>5</v>
      </c>
    </row>
    <row r="249" spans="1:6" ht="15" customHeight="1" x14ac:dyDescent="0.2">
      <c r="A249" s="8" t="s">
        <v>823</v>
      </c>
      <c r="B249" s="8" t="s">
        <v>793</v>
      </c>
      <c r="C249" s="8" t="s">
        <v>566</v>
      </c>
      <c r="D249" s="29">
        <v>2019.2</v>
      </c>
      <c r="E249" s="29">
        <v>2023.5</v>
      </c>
      <c r="F249" s="29">
        <v>4.25</v>
      </c>
    </row>
    <row r="250" spans="1:6" ht="15" customHeight="1" x14ac:dyDescent="0.2">
      <c r="A250" s="8" t="s">
        <v>824</v>
      </c>
      <c r="B250" s="8" t="s">
        <v>787</v>
      </c>
      <c r="C250" s="8" t="s">
        <v>560</v>
      </c>
      <c r="D250" s="29">
        <v>2019.2</v>
      </c>
      <c r="E250" s="29">
        <v>2022.3</v>
      </c>
      <c r="F250" s="29">
        <v>3.08</v>
      </c>
    </row>
    <row r="251" spans="1:6" ht="15" customHeight="1" x14ac:dyDescent="0.2">
      <c r="A251" s="8" t="s">
        <v>825</v>
      </c>
      <c r="B251" s="8" t="s">
        <v>787</v>
      </c>
      <c r="C251" s="8" t="s">
        <v>560</v>
      </c>
      <c r="D251" s="29">
        <v>2019.2</v>
      </c>
      <c r="E251" s="29">
        <v>2021.6</v>
      </c>
      <c r="F251" s="29">
        <v>2.33</v>
      </c>
    </row>
    <row r="252" spans="1:6" ht="15" customHeight="1" x14ac:dyDescent="0.2">
      <c r="A252" s="8" t="s">
        <v>826</v>
      </c>
      <c r="B252" s="8" t="s">
        <v>787</v>
      </c>
      <c r="C252" s="8" t="s">
        <v>566</v>
      </c>
      <c r="D252" s="29">
        <v>2019.2</v>
      </c>
      <c r="E252" s="29">
        <v>2024.2</v>
      </c>
      <c r="F252" s="29">
        <v>4.92</v>
      </c>
    </row>
    <row r="253" spans="1:6" ht="15" customHeight="1" x14ac:dyDescent="0.2">
      <c r="A253" s="8" t="s">
        <v>827</v>
      </c>
      <c r="B253" s="8" t="s">
        <v>781</v>
      </c>
      <c r="C253" s="8" t="s">
        <v>566</v>
      </c>
      <c r="D253" s="29">
        <v>2020.4</v>
      </c>
      <c r="E253" s="29">
        <v>2024.4</v>
      </c>
      <c r="F253" s="29">
        <v>4</v>
      </c>
    </row>
    <row r="254" spans="1:6" ht="15" customHeight="1" x14ac:dyDescent="0.2">
      <c r="A254" s="8" t="s">
        <v>828</v>
      </c>
      <c r="B254" s="8" t="s">
        <v>793</v>
      </c>
      <c r="C254" s="8" t="s">
        <v>566</v>
      </c>
      <c r="D254" s="29">
        <v>2020.4</v>
      </c>
      <c r="E254" s="29">
        <v>2024.5</v>
      </c>
      <c r="F254" s="29">
        <v>4.08</v>
      </c>
    </row>
    <row r="255" spans="1:6" ht="15" customHeight="1" x14ac:dyDescent="0.2">
      <c r="A255" s="8" t="s">
        <v>829</v>
      </c>
      <c r="B255" s="8" t="s">
        <v>775</v>
      </c>
      <c r="C255" s="8" t="s">
        <v>560</v>
      </c>
      <c r="D255" s="29">
        <v>2013.8</v>
      </c>
      <c r="E255" s="29">
        <v>2019.8</v>
      </c>
      <c r="F255" s="29">
        <v>6</v>
      </c>
    </row>
    <row r="256" spans="1:6" ht="15" customHeight="1" x14ac:dyDescent="0.2">
      <c r="A256" s="8" t="s">
        <v>830</v>
      </c>
      <c r="B256" s="8" t="s">
        <v>781</v>
      </c>
      <c r="C256" s="8" t="s">
        <v>759</v>
      </c>
      <c r="D256" s="29">
        <v>2014.2</v>
      </c>
      <c r="E256" s="29">
        <v>2019.3</v>
      </c>
      <c r="F256" s="29">
        <v>5.08</v>
      </c>
    </row>
    <row r="257" spans="1:6" ht="15" customHeight="1" x14ac:dyDescent="0.2">
      <c r="A257" s="8" t="s">
        <v>831</v>
      </c>
      <c r="B257" s="8" t="s">
        <v>783</v>
      </c>
      <c r="C257" s="8" t="s">
        <v>562</v>
      </c>
      <c r="D257" s="29">
        <v>2014.5</v>
      </c>
      <c r="E257" s="29">
        <v>2020.3</v>
      </c>
      <c r="F257" s="29">
        <v>5.83</v>
      </c>
    </row>
    <row r="258" spans="1:6" ht="15" customHeight="1" x14ac:dyDescent="0.2">
      <c r="A258" s="8" t="s">
        <v>832</v>
      </c>
      <c r="B258" s="8" t="s">
        <v>793</v>
      </c>
      <c r="C258" s="8" t="s">
        <v>562</v>
      </c>
      <c r="D258" s="29">
        <v>2014.7</v>
      </c>
      <c r="E258" s="29">
        <v>2019.7</v>
      </c>
      <c r="F258" s="29">
        <v>5</v>
      </c>
    </row>
    <row r="259" spans="1:6" ht="15" customHeight="1" x14ac:dyDescent="0.2">
      <c r="A259" s="8" t="s">
        <v>833</v>
      </c>
      <c r="B259" s="8" t="s">
        <v>781</v>
      </c>
      <c r="C259" s="8" t="s">
        <v>560</v>
      </c>
      <c r="D259" s="29">
        <v>2014.8</v>
      </c>
      <c r="E259" s="29">
        <v>2019.8</v>
      </c>
      <c r="F259" s="29">
        <v>4.92</v>
      </c>
    </row>
    <row r="260" spans="1:6" ht="15" customHeight="1" x14ac:dyDescent="0.2">
      <c r="A260" s="8" t="s">
        <v>834</v>
      </c>
      <c r="B260" s="8" t="s">
        <v>777</v>
      </c>
      <c r="C260" s="8" t="s">
        <v>560</v>
      </c>
      <c r="D260" s="29">
        <v>2014.9</v>
      </c>
      <c r="E260" s="29">
        <v>2019.7</v>
      </c>
      <c r="F260" s="29">
        <v>4.75</v>
      </c>
    </row>
    <row r="261" spans="1:6" ht="15" customHeight="1" x14ac:dyDescent="0.2">
      <c r="A261" s="8" t="s">
        <v>835</v>
      </c>
      <c r="B261" s="8" t="s">
        <v>777</v>
      </c>
      <c r="C261" s="8" t="s">
        <v>560</v>
      </c>
      <c r="D261" s="29">
        <v>2015.2</v>
      </c>
      <c r="E261" s="29">
        <v>2020.5</v>
      </c>
      <c r="F261" s="29">
        <v>5.33</v>
      </c>
    </row>
    <row r="262" spans="1:6" ht="15" customHeight="1" x14ac:dyDescent="0.2">
      <c r="A262" s="8" t="s">
        <v>836</v>
      </c>
      <c r="B262" s="8" t="s">
        <v>777</v>
      </c>
      <c r="C262" s="8" t="s">
        <v>560</v>
      </c>
      <c r="D262" s="29">
        <v>2015.2</v>
      </c>
      <c r="E262" s="29">
        <v>2020.5</v>
      </c>
      <c r="F262" s="29">
        <v>5.33</v>
      </c>
    </row>
    <row r="263" spans="1:6" ht="15" customHeight="1" x14ac:dyDescent="0.2">
      <c r="A263" s="8" t="s">
        <v>837</v>
      </c>
      <c r="B263" s="8" t="s">
        <v>777</v>
      </c>
      <c r="C263" s="8" t="s">
        <v>560</v>
      </c>
      <c r="D263" s="29">
        <v>2015.2</v>
      </c>
      <c r="E263" s="29">
        <v>2019.8</v>
      </c>
      <c r="F263" s="29">
        <v>4.5</v>
      </c>
    </row>
    <row r="264" spans="1:6" ht="15" customHeight="1" x14ac:dyDescent="0.2">
      <c r="A264" s="8" t="s">
        <v>838</v>
      </c>
      <c r="B264" s="8" t="s">
        <v>808</v>
      </c>
      <c r="C264" s="8" t="s">
        <v>566</v>
      </c>
      <c r="D264" s="29">
        <v>2015.3</v>
      </c>
      <c r="E264" s="29">
        <v>2019.4</v>
      </c>
      <c r="F264" s="29">
        <v>4.08</v>
      </c>
    </row>
    <row r="265" spans="1:6" ht="15" customHeight="1" x14ac:dyDescent="0.2">
      <c r="A265" s="8" t="s">
        <v>839</v>
      </c>
      <c r="B265" s="8" t="s">
        <v>787</v>
      </c>
      <c r="C265" s="8" t="s">
        <v>560</v>
      </c>
      <c r="D265" s="29">
        <v>2015.3</v>
      </c>
      <c r="E265" s="29">
        <v>2019.9</v>
      </c>
      <c r="F265" s="29">
        <v>4.58</v>
      </c>
    </row>
    <row r="266" spans="1:6" ht="15" customHeight="1" x14ac:dyDescent="0.2">
      <c r="A266" s="8" t="s">
        <v>840</v>
      </c>
      <c r="B266" s="8" t="s">
        <v>841</v>
      </c>
      <c r="C266" s="8" t="s">
        <v>560</v>
      </c>
      <c r="D266" s="29">
        <v>2015.3</v>
      </c>
      <c r="E266" s="29">
        <v>2019.7</v>
      </c>
      <c r="F266" s="29">
        <v>4.33</v>
      </c>
    </row>
    <row r="267" spans="1:6" ht="15" customHeight="1" x14ac:dyDescent="0.2">
      <c r="A267" s="8" t="s">
        <v>842</v>
      </c>
      <c r="B267" s="8" t="s">
        <v>787</v>
      </c>
      <c r="C267" s="8" t="s">
        <v>560</v>
      </c>
      <c r="D267" s="29">
        <v>2015.4</v>
      </c>
      <c r="E267" s="29">
        <v>2019.3</v>
      </c>
      <c r="F267" s="29">
        <v>3.92</v>
      </c>
    </row>
    <row r="268" spans="1:6" ht="15" customHeight="1" x14ac:dyDescent="0.2">
      <c r="A268" s="8" t="s">
        <v>843</v>
      </c>
      <c r="B268" s="8" t="s">
        <v>789</v>
      </c>
      <c r="C268" s="8" t="s">
        <v>562</v>
      </c>
      <c r="D268" s="29">
        <v>2015.7</v>
      </c>
      <c r="E268" s="29">
        <v>2020.5</v>
      </c>
      <c r="F268" s="29">
        <v>4.83</v>
      </c>
    </row>
    <row r="269" spans="1:6" ht="15" customHeight="1" x14ac:dyDescent="0.2">
      <c r="A269" s="8" t="s">
        <v>844</v>
      </c>
      <c r="B269" s="8" t="s">
        <v>793</v>
      </c>
      <c r="C269" s="8" t="s">
        <v>562</v>
      </c>
      <c r="D269" s="29">
        <v>2015.7</v>
      </c>
      <c r="E269" s="29">
        <v>2019.5</v>
      </c>
      <c r="F269" s="29">
        <v>3.83</v>
      </c>
    </row>
    <row r="270" spans="1:6" ht="15" customHeight="1" x14ac:dyDescent="0.2">
      <c r="A270" s="8" t="s">
        <v>845</v>
      </c>
      <c r="B270" s="8" t="s">
        <v>793</v>
      </c>
      <c r="C270" s="8" t="s">
        <v>562</v>
      </c>
      <c r="D270" s="29">
        <v>2015.7</v>
      </c>
      <c r="E270" s="29">
        <v>2019.5</v>
      </c>
      <c r="F270" s="29">
        <v>3.83</v>
      </c>
    </row>
    <row r="271" spans="1:6" ht="15" customHeight="1" x14ac:dyDescent="0.2">
      <c r="A271" s="8" t="s">
        <v>846</v>
      </c>
      <c r="B271" s="8" t="s">
        <v>777</v>
      </c>
      <c r="C271" s="8" t="s">
        <v>560</v>
      </c>
      <c r="D271" s="29">
        <v>2015.8</v>
      </c>
      <c r="E271" s="29">
        <v>2020.4</v>
      </c>
      <c r="F271" s="29">
        <v>4.58</v>
      </c>
    </row>
    <row r="272" spans="1:6" ht="15" customHeight="1" x14ac:dyDescent="0.2">
      <c r="A272" s="8" t="s">
        <v>847</v>
      </c>
      <c r="B272" s="8" t="s">
        <v>841</v>
      </c>
      <c r="C272" s="8" t="s">
        <v>560</v>
      </c>
      <c r="D272" s="29">
        <v>2015.8</v>
      </c>
      <c r="E272" s="29">
        <v>2020.2</v>
      </c>
      <c r="F272" s="29">
        <v>4.42</v>
      </c>
    </row>
    <row r="273" spans="1:6" ht="15" customHeight="1" x14ac:dyDescent="0.2">
      <c r="A273" s="8" t="s">
        <v>848</v>
      </c>
      <c r="B273" s="8" t="s">
        <v>781</v>
      </c>
      <c r="C273" s="8" t="s">
        <v>560</v>
      </c>
      <c r="D273" s="29">
        <v>2015.8</v>
      </c>
      <c r="E273" s="29">
        <v>2019.7</v>
      </c>
      <c r="F273" s="29">
        <v>3.83</v>
      </c>
    </row>
    <row r="274" spans="1:6" ht="15" customHeight="1" x14ac:dyDescent="0.2">
      <c r="A274" s="8" t="s">
        <v>849</v>
      </c>
      <c r="B274" s="8" t="s">
        <v>775</v>
      </c>
      <c r="C274" s="8" t="s">
        <v>560</v>
      </c>
      <c r="D274" s="29">
        <v>2015.8</v>
      </c>
      <c r="E274" s="29">
        <v>2019.8</v>
      </c>
      <c r="F274" s="29">
        <v>4</v>
      </c>
    </row>
    <row r="275" spans="1:6" ht="15" customHeight="1" x14ac:dyDescent="0.2">
      <c r="A275" s="8" t="s">
        <v>850</v>
      </c>
      <c r="B275" s="8" t="s">
        <v>783</v>
      </c>
      <c r="C275" s="8" t="s">
        <v>566</v>
      </c>
      <c r="D275" s="29">
        <v>2015.8</v>
      </c>
      <c r="E275" s="29">
        <v>2021</v>
      </c>
      <c r="F275" s="29">
        <v>5.17</v>
      </c>
    </row>
    <row r="276" spans="1:6" ht="15" customHeight="1" x14ac:dyDescent="0.2">
      <c r="A276" s="8" t="s">
        <v>851</v>
      </c>
      <c r="B276" s="8" t="s">
        <v>781</v>
      </c>
      <c r="C276" s="8" t="s">
        <v>560</v>
      </c>
      <c r="D276" s="29">
        <v>2015.8</v>
      </c>
      <c r="E276" s="29">
        <v>2019.7</v>
      </c>
      <c r="F276" s="29">
        <v>3.83</v>
      </c>
    </row>
    <row r="277" spans="1:6" ht="15" customHeight="1" x14ac:dyDescent="0.2">
      <c r="A277" s="8" t="s">
        <v>852</v>
      </c>
      <c r="B277" s="8" t="s">
        <v>841</v>
      </c>
      <c r="C277" s="8" t="s">
        <v>560</v>
      </c>
      <c r="D277" s="29">
        <v>2015.8</v>
      </c>
      <c r="E277" s="29">
        <v>2020.4</v>
      </c>
      <c r="F277" s="29">
        <v>4.58</v>
      </c>
    </row>
    <row r="278" spans="1:6" ht="15" customHeight="1" x14ac:dyDescent="0.2">
      <c r="A278" s="8" t="s">
        <v>853</v>
      </c>
      <c r="B278" s="8" t="s">
        <v>808</v>
      </c>
      <c r="C278" s="8" t="s">
        <v>560</v>
      </c>
      <c r="D278" s="29">
        <v>2015.8</v>
      </c>
      <c r="E278" s="29">
        <v>2020.6</v>
      </c>
      <c r="F278" s="29">
        <v>4.75</v>
      </c>
    </row>
    <row r="279" spans="1:6" ht="15" customHeight="1" x14ac:dyDescent="0.2">
      <c r="A279" s="8" t="s">
        <v>854</v>
      </c>
      <c r="B279" s="8" t="s">
        <v>808</v>
      </c>
      <c r="C279" s="8" t="s">
        <v>560</v>
      </c>
      <c r="D279" s="29">
        <v>2015.8</v>
      </c>
      <c r="E279" s="29">
        <v>2019.2</v>
      </c>
      <c r="F279" s="29">
        <v>3.42</v>
      </c>
    </row>
    <row r="280" spans="1:6" ht="15" customHeight="1" x14ac:dyDescent="0.2">
      <c r="A280" s="8" t="s">
        <v>855</v>
      </c>
      <c r="B280" s="8" t="s">
        <v>777</v>
      </c>
      <c r="C280" s="8" t="s">
        <v>560</v>
      </c>
      <c r="D280" s="29">
        <v>2015.8</v>
      </c>
      <c r="E280" s="29">
        <v>2020.4</v>
      </c>
      <c r="F280" s="29">
        <v>4.58</v>
      </c>
    </row>
    <row r="281" spans="1:6" ht="15" customHeight="1" x14ac:dyDescent="0.2">
      <c r="A281" s="8" t="s">
        <v>856</v>
      </c>
      <c r="B281" s="8" t="s">
        <v>781</v>
      </c>
      <c r="C281" s="8" t="s">
        <v>560</v>
      </c>
      <c r="D281" s="29">
        <v>2015.8</v>
      </c>
      <c r="E281" s="29">
        <v>2020.8</v>
      </c>
      <c r="F281" s="29">
        <v>4.92</v>
      </c>
    </row>
    <row r="282" spans="1:6" ht="15" customHeight="1" x14ac:dyDescent="0.2">
      <c r="A282" s="8" t="s">
        <v>857</v>
      </c>
      <c r="B282" s="8" t="s">
        <v>781</v>
      </c>
      <c r="C282" s="8" t="s">
        <v>560</v>
      </c>
      <c r="D282" s="29">
        <v>2015.8</v>
      </c>
      <c r="E282" s="29">
        <v>2020.8</v>
      </c>
      <c r="F282" s="29">
        <v>4.92</v>
      </c>
    </row>
    <row r="283" spans="1:6" ht="15" customHeight="1" x14ac:dyDescent="0.2">
      <c r="A283" s="8" t="s">
        <v>858</v>
      </c>
      <c r="B283" s="8" t="s">
        <v>779</v>
      </c>
      <c r="C283" s="8" t="s">
        <v>560</v>
      </c>
      <c r="D283" s="29">
        <v>2015.8</v>
      </c>
      <c r="E283" s="29">
        <v>2019.8</v>
      </c>
      <c r="F283" s="29">
        <v>3.92</v>
      </c>
    </row>
    <row r="284" spans="1:6" ht="15" customHeight="1" x14ac:dyDescent="0.2">
      <c r="A284" s="8" t="s">
        <v>859</v>
      </c>
      <c r="B284" s="8" t="s">
        <v>781</v>
      </c>
      <c r="C284" s="8" t="s">
        <v>560</v>
      </c>
      <c r="D284" s="29">
        <v>2015.8</v>
      </c>
      <c r="E284" s="29">
        <v>2020.2</v>
      </c>
      <c r="F284" s="29">
        <v>4.42</v>
      </c>
    </row>
    <row r="285" spans="1:6" ht="15" customHeight="1" x14ac:dyDescent="0.2">
      <c r="A285" s="8" t="s">
        <v>860</v>
      </c>
      <c r="B285" s="8" t="s">
        <v>781</v>
      </c>
      <c r="C285" s="8" t="s">
        <v>560</v>
      </c>
      <c r="D285" s="29">
        <v>2015.8</v>
      </c>
      <c r="E285" s="29">
        <v>2020.2</v>
      </c>
      <c r="F285" s="29">
        <v>4.42</v>
      </c>
    </row>
    <row r="286" spans="1:6" ht="15" customHeight="1" x14ac:dyDescent="0.2">
      <c r="A286" s="8" t="s">
        <v>861</v>
      </c>
      <c r="B286" s="8" t="s">
        <v>779</v>
      </c>
      <c r="C286" s="8" t="s">
        <v>560</v>
      </c>
      <c r="D286" s="29">
        <v>2015.8</v>
      </c>
      <c r="E286" s="29">
        <v>2020.8</v>
      </c>
      <c r="F286" s="29">
        <v>4.92</v>
      </c>
    </row>
    <row r="287" spans="1:6" ht="15" customHeight="1" x14ac:dyDescent="0.2">
      <c r="A287" s="8" t="s">
        <v>862</v>
      </c>
      <c r="B287" s="8" t="s">
        <v>800</v>
      </c>
      <c r="C287" s="8" t="s">
        <v>560</v>
      </c>
      <c r="D287" s="29">
        <v>2016</v>
      </c>
      <c r="E287" s="29">
        <v>2020.2</v>
      </c>
      <c r="F287" s="29">
        <v>4.25</v>
      </c>
    </row>
    <row r="288" spans="1:6" ht="15" customHeight="1" x14ac:dyDescent="0.2">
      <c r="A288" s="8" t="s">
        <v>863</v>
      </c>
      <c r="B288" s="8" t="s">
        <v>841</v>
      </c>
      <c r="C288" s="8" t="s">
        <v>560</v>
      </c>
      <c r="D288" s="29">
        <v>2017.4</v>
      </c>
      <c r="E288" s="29">
        <v>2022.9</v>
      </c>
      <c r="F288" s="29">
        <v>5.5</v>
      </c>
    </row>
    <row r="289" spans="1:6" ht="15" customHeight="1" x14ac:dyDescent="0.2">
      <c r="A289" s="8" t="s">
        <v>864</v>
      </c>
      <c r="B289" s="8" t="s">
        <v>781</v>
      </c>
      <c r="C289" s="8" t="s">
        <v>560</v>
      </c>
      <c r="D289" s="29">
        <v>2016.3</v>
      </c>
      <c r="E289" s="29">
        <v>2021.9</v>
      </c>
      <c r="F289" s="29">
        <v>5.58</v>
      </c>
    </row>
    <row r="290" spans="1:6" ht="15" customHeight="1" x14ac:dyDescent="0.2">
      <c r="A290" s="8" t="s">
        <v>865</v>
      </c>
      <c r="B290" s="8" t="s">
        <v>841</v>
      </c>
      <c r="C290" s="8" t="s">
        <v>560</v>
      </c>
      <c r="D290" s="29">
        <v>2016.3</v>
      </c>
      <c r="E290" s="29">
        <v>2020.7</v>
      </c>
      <c r="F290" s="29">
        <v>4.33</v>
      </c>
    </row>
    <row r="291" spans="1:6" ht="15" customHeight="1" x14ac:dyDescent="0.2">
      <c r="A291" s="8" t="s">
        <v>866</v>
      </c>
      <c r="B291" s="8" t="s">
        <v>781</v>
      </c>
      <c r="C291" s="8" t="s">
        <v>560</v>
      </c>
      <c r="D291" s="29">
        <v>2016.3</v>
      </c>
      <c r="E291" s="29">
        <v>2019.8</v>
      </c>
      <c r="F291" s="29">
        <v>3.42</v>
      </c>
    </row>
    <row r="292" spans="1:6" ht="15" customHeight="1" x14ac:dyDescent="0.2">
      <c r="A292" s="8" t="s">
        <v>867</v>
      </c>
      <c r="B292" s="8" t="s">
        <v>800</v>
      </c>
      <c r="C292" s="8" t="s">
        <v>560</v>
      </c>
      <c r="D292" s="29">
        <v>2016.3</v>
      </c>
      <c r="E292" s="29">
        <v>2020.8</v>
      </c>
      <c r="F292" s="29">
        <v>4.42</v>
      </c>
    </row>
    <row r="293" spans="1:6" ht="15" customHeight="1" x14ac:dyDescent="0.2">
      <c r="A293" s="8" t="s">
        <v>868</v>
      </c>
      <c r="B293" s="8" t="s">
        <v>795</v>
      </c>
      <c r="C293" s="8" t="s">
        <v>566</v>
      </c>
      <c r="D293" s="29">
        <v>2016.3</v>
      </c>
      <c r="E293" s="29">
        <v>2019.9</v>
      </c>
      <c r="F293" s="29">
        <v>3.58</v>
      </c>
    </row>
    <row r="294" spans="1:6" ht="15" customHeight="1" x14ac:dyDescent="0.2">
      <c r="A294" s="8" t="s">
        <v>869</v>
      </c>
      <c r="B294" s="8" t="s">
        <v>795</v>
      </c>
      <c r="C294" s="8" t="s">
        <v>566</v>
      </c>
      <c r="D294" s="29">
        <v>2017.4</v>
      </c>
      <c r="E294" s="29">
        <v>2022.3</v>
      </c>
      <c r="F294" s="29">
        <v>4.92</v>
      </c>
    </row>
    <row r="295" spans="1:6" ht="15" customHeight="1" x14ac:dyDescent="0.2">
      <c r="A295" s="8" t="s">
        <v>870</v>
      </c>
      <c r="B295" s="8" t="s">
        <v>806</v>
      </c>
      <c r="C295" s="8" t="s">
        <v>566</v>
      </c>
      <c r="D295" s="29">
        <v>2016.5</v>
      </c>
      <c r="E295" s="29">
        <v>2021.2</v>
      </c>
      <c r="F295" s="29">
        <v>4.75</v>
      </c>
    </row>
    <row r="296" spans="1:6" ht="15" customHeight="1" x14ac:dyDescent="0.2">
      <c r="A296" s="8" t="s">
        <v>871</v>
      </c>
      <c r="B296" s="8" t="s">
        <v>793</v>
      </c>
      <c r="C296" s="8" t="s">
        <v>566</v>
      </c>
      <c r="D296" s="29">
        <v>2016.5</v>
      </c>
      <c r="E296" s="29">
        <v>2020</v>
      </c>
      <c r="F296" s="29">
        <v>3.5</v>
      </c>
    </row>
    <row r="297" spans="1:6" ht="15" customHeight="1" x14ac:dyDescent="0.2">
      <c r="A297" s="8" t="s">
        <v>872</v>
      </c>
      <c r="B297" s="8" t="s">
        <v>793</v>
      </c>
      <c r="C297" s="8" t="s">
        <v>566</v>
      </c>
      <c r="D297" s="29">
        <v>2017.4</v>
      </c>
      <c r="E297" s="29">
        <v>2022.8</v>
      </c>
      <c r="F297" s="29">
        <v>5.33</v>
      </c>
    </row>
    <row r="298" spans="1:6" ht="15" customHeight="1" x14ac:dyDescent="0.2">
      <c r="A298" s="8" t="s">
        <v>873</v>
      </c>
      <c r="B298" s="8" t="s">
        <v>787</v>
      </c>
      <c r="C298" s="8" t="s">
        <v>560</v>
      </c>
      <c r="D298" s="29">
        <v>2017.4</v>
      </c>
      <c r="E298" s="29">
        <v>2021.3</v>
      </c>
      <c r="F298" s="29">
        <v>3.92</v>
      </c>
    </row>
    <row r="299" spans="1:6" ht="15" customHeight="1" x14ac:dyDescent="0.2">
      <c r="A299" s="8" t="s">
        <v>874</v>
      </c>
      <c r="B299" s="8" t="s">
        <v>779</v>
      </c>
      <c r="C299" s="8" t="s">
        <v>560</v>
      </c>
      <c r="D299" s="29">
        <v>2016.7</v>
      </c>
      <c r="E299" s="29">
        <v>2020.4</v>
      </c>
      <c r="F299" s="29">
        <v>3.75</v>
      </c>
    </row>
    <row r="300" spans="1:6" ht="15" customHeight="1" x14ac:dyDescent="0.2">
      <c r="A300" s="8" t="s">
        <v>875</v>
      </c>
      <c r="B300" s="8" t="s">
        <v>779</v>
      </c>
      <c r="C300" s="8" t="s">
        <v>560</v>
      </c>
      <c r="D300" s="29">
        <v>2016.8</v>
      </c>
      <c r="E300" s="29">
        <v>2020.4</v>
      </c>
      <c r="F300" s="29">
        <v>3.58</v>
      </c>
    </row>
    <row r="301" spans="1:6" ht="15" customHeight="1" x14ac:dyDescent="0.2">
      <c r="A301" s="8" t="s">
        <v>876</v>
      </c>
      <c r="B301" s="8" t="s">
        <v>781</v>
      </c>
      <c r="C301" s="8" t="s">
        <v>560</v>
      </c>
      <c r="D301" s="29">
        <v>2016.8</v>
      </c>
      <c r="E301" s="29">
        <v>2021.8</v>
      </c>
      <c r="F301" s="29">
        <v>4.92</v>
      </c>
    </row>
    <row r="302" spans="1:6" ht="15" customHeight="1" x14ac:dyDescent="0.2">
      <c r="A302" s="8" t="s">
        <v>877</v>
      </c>
      <c r="B302" s="8" t="s">
        <v>779</v>
      </c>
      <c r="C302" s="8" t="s">
        <v>560</v>
      </c>
      <c r="D302" s="29">
        <v>2016.8</v>
      </c>
      <c r="E302" s="29">
        <v>2019.8</v>
      </c>
      <c r="F302" s="29">
        <v>2.92</v>
      </c>
    </row>
    <row r="303" spans="1:6" ht="15" customHeight="1" x14ac:dyDescent="0.2">
      <c r="A303" s="8" t="s">
        <v>878</v>
      </c>
      <c r="B303" s="8" t="s">
        <v>787</v>
      </c>
      <c r="C303" s="8" t="s">
        <v>560</v>
      </c>
      <c r="D303" s="29">
        <v>2016.8</v>
      </c>
      <c r="E303" s="29">
        <v>2020.2</v>
      </c>
      <c r="F303" s="29">
        <v>3.42</v>
      </c>
    </row>
    <row r="304" spans="1:6" ht="15" customHeight="1" x14ac:dyDescent="0.2">
      <c r="A304" s="8" t="s">
        <v>879</v>
      </c>
      <c r="B304" s="8" t="s">
        <v>787</v>
      </c>
      <c r="C304" s="8" t="s">
        <v>560</v>
      </c>
      <c r="D304" s="29">
        <v>2016.8</v>
      </c>
      <c r="E304" s="29">
        <v>2021.8</v>
      </c>
      <c r="F304" s="29">
        <v>4.92</v>
      </c>
    </row>
    <row r="305" spans="1:6" ht="15" customHeight="1" x14ac:dyDescent="0.2">
      <c r="A305" s="8" t="s">
        <v>880</v>
      </c>
      <c r="B305" s="8" t="s">
        <v>779</v>
      </c>
      <c r="C305" s="8" t="s">
        <v>566</v>
      </c>
      <c r="D305" s="29">
        <v>2016.8</v>
      </c>
      <c r="E305" s="29">
        <v>2022.2</v>
      </c>
      <c r="F305" s="29">
        <v>5.42</v>
      </c>
    </row>
    <row r="306" spans="1:6" ht="15" customHeight="1" x14ac:dyDescent="0.2">
      <c r="A306" s="8" t="s">
        <v>881</v>
      </c>
      <c r="B306" s="8" t="s">
        <v>808</v>
      </c>
      <c r="C306" s="8" t="s">
        <v>566</v>
      </c>
      <c r="D306" s="29">
        <v>2016.8</v>
      </c>
      <c r="E306" s="29">
        <v>2020.5</v>
      </c>
      <c r="F306" s="29">
        <v>3.67</v>
      </c>
    </row>
    <row r="307" spans="1:6" ht="15" customHeight="1" x14ac:dyDescent="0.2">
      <c r="A307" s="8" t="s">
        <v>882</v>
      </c>
      <c r="B307" s="8" t="s">
        <v>783</v>
      </c>
      <c r="C307" s="8" t="s">
        <v>562</v>
      </c>
      <c r="D307" s="29">
        <v>2016.8</v>
      </c>
      <c r="E307" s="29">
        <v>2019.2</v>
      </c>
      <c r="F307" s="29">
        <v>2.42</v>
      </c>
    </row>
    <row r="308" spans="1:6" ht="15" customHeight="1" x14ac:dyDescent="0.2">
      <c r="A308" s="8" t="s">
        <v>883</v>
      </c>
      <c r="B308" s="8" t="s">
        <v>779</v>
      </c>
      <c r="C308" s="8" t="s">
        <v>562</v>
      </c>
      <c r="D308" s="29">
        <v>2017.4</v>
      </c>
      <c r="E308" s="29">
        <v>2021.3</v>
      </c>
      <c r="F308" s="29">
        <v>3.92</v>
      </c>
    </row>
    <row r="309" spans="1:6" ht="15" customHeight="1" x14ac:dyDescent="0.2">
      <c r="A309" s="8" t="s">
        <v>884</v>
      </c>
      <c r="B309" s="8" t="s">
        <v>779</v>
      </c>
      <c r="C309" s="8" t="s">
        <v>566</v>
      </c>
      <c r="D309" s="29">
        <v>2017.4</v>
      </c>
      <c r="E309" s="29">
        <v>2020.8</v>
      </c>
      <c r="F309" s="29">
        <v>3.42</v>
      </c>
    </row>
    <row r="310" spans="1:6" ht="15" customHeight="1" x14ac:dyDescent="0.2">
      <c r="A310" s="8" t="s">
        <v>885</v>
      </c>
      <c r="B310" s="8" t="s">
        <v>779</v>
      </c>
      <c r="C310" s="8" t="s">
        <v>566</v>
      </c>
      <c r="D310" s="29">
        <v>2017.4</v>
      </c>
      <c r="E310" s="29">
        <v>2021.4</v>
      </c>
      <c r="F310" s="29">
        <v>4</v>
      </c>
    </row>
    <row r="311" spans="1:6" ht="15" customHeight="1" x14ac:dyDescent="0.2">
      <c r="A311" s="8" t="s">
        <v>886</v>
      </c>
      <c r="B311" s="8" t="s">
        <v>787</v>
      </c>
      <c r="C311" s="8" t="s">
        <v>566</v>
      </c>
      <c r="D311" s="29">
        <v>2017.4</v>
      </c>
      <c r="E311" s="29">
        <v>2020.5</v>
      </c>
      <c r="F311" s="29">
        <v>3.08</v>
      </c>
    </row>
    <row r="312" spans="1:6" ht="15" customHeight="1" x14ac:dyDescent="0.2">
      <c r="A312" s="8" t="s">
        <v>887</v>
      </c>
      <c r="B312" s="8" t="s">
        <v>787</v>
      </c>
      <c r="C312" s="8" t="s">
        <v>566</v>
      </c>
      <c r="D312" s="29">
        <v>2017.4</v>
      </c>
      <c r="E312" s="29">
        <v>2021.3</v>
      </c>
      <c r="F312" s="29">
        <v>3.92</v>
      </c>
    </row>
    <row r="313" spans="1:6" ht="15" customHeight="1" x14ac:dyDescent="0.2">
      <c r="A313" s="8" t="s">
        <v>888</v>
      </c>
      <c r="B313" s="8" t="s">
        <v>800</v>
      </c>
      <c r="C313" s="8" t="s">
        <v>566</v>
      </c>
      <c r="D313" s="29">
        <v>2017.4</v>
      </c>
      <c r="E313" s="29">
        <v>2021.8</v>
      </c>
      <c r="F313" s="29">
        <v>4.33</v>
      </c>
    </row>
    <row r="314" spans="1:6" ht="15" customHeight="1" x14ac:dyDescent="0.2">
      <c r="A314" s="8" t="s">
        <v>889</v>
      </c>
      <c r="B314" s="8" t="s">
        <v>787</v>
      </c>
      <c r="C314" s="8" t="s">
        <v>560</v>
      </c>
      <c r="D314" s="29">
        <v>2017.4</v>
      </c>
      <c r="E314" s="29">
        <v>2021.3</v>
      </c>
      <c r="F314" s="29">
        <v>3.92</v>
      </c>
    </row>
    <row r="315" spans="1:6" ht="15" customHeight="1" x14ac:dyDescent="0.2">
      <c r="A315" s="8" t="s">
        <v>890</v>
      </c>
      <c r="B315" s="8" t="s">
        <v>806</v>
      </c>
      <c r="C315" s="8" t="s">
        <v>566</v>
      </c>
      <c r="D315" s="29">
        <v>2017.4</v>
      </c>
      <c r="E315" s="29">
        <v>2021.8</v>
      </c>
      <c r="F315" s="29">
        <v>4.42</v>
      </c>
    </row>
    <row r="316" spans="1:6" ht="15" customHeight="1" x14ac:dyDescent="0.2">
      <c r="A316" s="8" t="s">
        <v>891</v>
      </c>
      <c r="B316" s="8" t="s">
        <v>783</v>
      </c>
      <c r="C316" s="8" t="s">
        <v>562</v>
      </c>
      <c r="D316" s="29">
        <v>2017.4</v>
      </c>
      <c r="E316" s="29">
        <v>2019.8</v>
      </c>
      <c r="F316" s="29">
        <v>2.33</v>
      </c>
    </row>
    <row r="317" spans="1:6" ht="15" customHeight="1" x14ac:dyDescent="0.2">
      <c r="A317" s="8" t="s">
        <v>892</v>
      </c>
      <c r="B317" s="8" t="s">
        <v>795</v>
      </c>
      <c r="C317" s="8" t="s">
        <v>566</v>
      </c>
      <c r="D317" s="29">
        <v>2017.4</v>
      </c>
      <c r="E317" s="29">
        <v>2021.8</v>
      </c>
      <c r="F317" s="29">
        <v>4.42</v>
      </c>
    </row>
    <row r="318" spans="1:6" ht="15" customHeight="1" x14ac:dyDescent="0.2">
      <c r="A318" s="8" t="s">
        <v>893</v>
      </c>
      <c r="B318" s="8" t="s">
        <v>781</v>
      </c>
      <c r="C318" s="8" t="s">
        <v>560</v>
      </c>
      <c r="D318" s="29">
        <v>2017.4</v>
      </c>
      <c r="E318" s="29">
        <v>2022.7</v>
      </c>
      <c r="F318" s="29">
        <v>5.25</v>
      </c>
    </row>
    <row r="319" spans="1:6" ht="15" customHeight="1" x14ac:dyDescent="0.2">
      <c r="A319" s="8" t="s">
        <v>894</v>
      </c>
      <c r="B319" s="8" t="s">
        <v>808</v>
      </c>
      <c r="C319" s="8" t="s">
        <v>560</v>
      </c>
      <c r="D319" s="29">
        <v>2017.4</v>
      </c>
      <c r="E319" s="29">
        <v>2021.6</v>
      </c>
      <c r="F319" s="29">
        <v>4.17</v>
      </c>
    </row>
    <row r="320" spans="1:6" ht="15" customHeight="1" x14ac:dyDescent="0.2">
      <c r="A320" s="8" t="s">
        <v>895</v>
      </c>
      <c r="B320" s="8" t="s">
        <v>808</v>
      </c>
      <c r="C320" s="8" t="s">
        <v>560</v>
      </c>
      <c r="D320" s="29">
        <v>2017.4</v>
      </c>
      <c r="E320" s="29">
        <v>2021.6</v>
      </c>
      <c r="F320" s="29">
        <v>4.17</v>
      </c>
    </row>
    <row r="321" spans="1:6" ht="15" customHeight="1" x14ac:dyDescent="0.2">
      <c r="A321" s="8" t="s">
        <v>896</v>
      </c>
      <c r="B321" s="8" t="s">
        <v>787</v>
      </c>
      <c r="C321" s="8" t="s">
        <v>560</v>
      </c>
      <c r="D321" s="29">
        <v>2017.4</v>
      </c>
      <c r="E321" s="29">
        <v>2021.4</v>
      </c>
      <c r="F321" s="29">
        <v>4</v>
      </c>
    </row>
    <row r="322" spans="1:6" ht="15" customHeight="1" x14ac:dyDescent="0.2">
      <c r="A322" s="8" t="s">
        <v>897</v>
      </c>
      <c r="B322" s="8" t="s">
        <v>783</v>
      </c>
      <c r="C322" s="8" t="s">
        <v>566</v>
      </c>
      <c r="D322" s="29">
        <v>2017.4</v>
      </c>
      <c r="E322" s="29">
        <v>2022.7</v>
      </c>
      <c r="F322" s="29">
        <v>5.25</v>
      </c>
    </row>
    <row r="323" spans="1:6" ht="15" customHeight="1" x14ac:dyDescent="0.2">
      <c r="A323" s="8" t="s">
        <v>898</v>
      </c>
      <c r="B323" s="8" t="s">
        <v>787</v>
      </c>
      <c r="C323" s="8" t="s">
        <v>566</v>
      </c>
      <c r="D323" s="29">
        <v>2017.4</v>
      </c>
      <c r="E323" s="29">
        <v>2021.3</v>
      </c>
      <c r="F323" s="29">
        <v>3.92</v>
      </c>
    </row>
    <row r="324" spans="1:6" ht="15" customHeight="1" x14ac:dyDescent="0.2">
      <c r="A324" s="8" t="s">
        <v>899</v>
      </c>
      <c r="B324" s="8" t="s">
        <v>783</v>
      </c>
      <c r="C324" s="8" t="s">
        <v>566</v>
      </c>
      <c r="D324" s="29">
        <v>2017.4</v>
      </c>
      <c r="E324" s="29">
        <v>2022.7</v>
      </c>
      <c r="F324" s="29">
        <v>5.25</v>
      </c>
    </row>
    <row r="325" spans="1:6" ht="15" customHeight="1" x14ac:dyDescent="0.2">
      <c r="A325" s="8" t="s">
        <v>900</v>
      </c>
      <c r="B325" s="8" t="s">
        <v>783</v>
      </c>
      <c r="C325" s="8" t="s">
        <v>566</v>
      </c>
      <c r="D325" s="29">
        <v>2017.4</v>
      </c>
      <c r="E325" s="29">
        <v>2020.6</v>
      </c>
      <c r="F325" s="29">
        <v>3.17</v>
      </c>
    </row>
    <row r="326" spans="1:6" ht="15" customHeight="1" x14ac:dyDescent="0.2">
      <c r="A326" s="8" t="s">
        <v>901</v>
      </c>
      <c r="B326" s="8" t="s">
        <v>783</v>
      </c>
      <c r="C326" s="8" t="s">
        <v>566</v>
      </c>
      <c r="D326" s="29">
        <v>2017.4</v>
      </c>
      <c r="E326" s="29">
        <v>2020.6</v>
      </c>
      <c r="F326" s="29">
        <v>3.17</v>
      </c>
    </row>
    <row r="327" spans="1:6" ht="15" customHeight="1" x14ac:dyDescent="0.2">
      <c r="A327" s="8" t="s">
        <v>902</v>
      </c>
      <c r="B327" s="8" t="s">
        <v>806</v>
      </c>
      <c r="C327" s="8" t="s">
        <v>562</v>
      </c>
      <c r="D327" s="29">
        <v>2017.4</v>
      </c>
      <c r="E327" s="29">
        <v>2019.5</v>
      </c>
      <c r="F327" s="29">
        <v>2.08</v>
      </c>
    </row>
    <row r="328" spans="1:6" ht="15" customHeight="1" x14ac:dyDescent="0.2">
      <c r="A328" s="8" t="s">
        <v>903</v>
      </c>
      <c r="B328" s="8" t="s">
        <v>795</v>
      </c>
      <c r="C328" s="8" t="s">
        <v>566</v>
      </c>
      <c r="D328" s="29">
        <v>2017.4</v>
      </c>
      <c r="E328" s="29">
        <v>2021.6</v>
      </c>
      <c r="F328" s="29">
        <v>4.17</v>
      </c>
    </row>
    <row r="329" spans="1:6" ht="15" customHeight="1" x14ac:dyDescent="0.2">
      <c r="A329" s="8" t="s">
        <v>904</v>
      </c>
      <c r="B329" s="8" t="s">
        <v>795</v>
      </c>
      <c r="C329" s="8" t="s">
        <v>566</v>
      </c>
      <c r="D329" s="29">
        <v>2017.4</v>
      </c>
      <c r="E329" s="29">
        <v>2022.4</v>
      </c>
      <c r="F329" s="29">
        <v>5</v>
      </c>
    </row>
    <row r="330" spans="1:6" ht="15" customHeight="1" x14ac:dyDescent="0.2">
      <c r="A330" s="8" t="s">
        <v>905</v>
      </c>
      <c r="B330" s="8" t="s">
        <v>808</v>
      </c>
      <c r="C330" s="8" t="s">
        <v>566</v>
      </c>
      <c r="D330" s="29">
        <v>2017.4</v>
      </c>
      <c r="E330" s="29">
        <v>2022.6</v>
      </c>
      <c r="F330" s="29">
        <v>5.17</v>
      </c>
    </row>
    <row r="331" spans="1:6" ht="15" customHeight="1" x14ac:dyDescent="0.2">
      <c r="A331" s="8" t="s">
        <v>906</v>
      </c>
      <c r="B331" s="8" t="s">
        <v>779</v>
      </c>
      <c r="C331" s="8" t="s">
        <v>560</v>
      </c>
      <c r="D331" s="29">
        <v>2017.4</v>
      </c>
      <c r="E331" s="29">
        <v>2019.8</v>
      </c>
      <c r="F331" s="29">
        <v>2.33</v>
      </c>
    </row>
    <row r="332" spans="1:6" ht="15" customHeight="1" x14ac:dyDescent="0.2">
      <c r="A332" s="8" t="s">
        <v>907</v>
      </c>
      <c r="B332" s="8" t="s">
        <v>800</v>
      </c>
      <c r="C332" s="8" t="s">
        <v>566</v>
      </c>
      <c r="D332" s="29">
        <v>2017.4</v>
      </c>
      <c r="E332" s="29">
        <v>2022.8</v>
      </c>
      <c r="F332" s="29">
        <v>5.33</v>
      </c>
    </row>
    <row r="333" spans="1:6" ht="15" customHeight="1" x14ac:dyDescent="0.2">
      <c r="A333" s="8" t="s">
        <v>908</v>
      </c>
      <c r="B333" s="8" t="s">
        <v>783</v>
      </c>
      <c r="C333" s="8" t="s">
        <v>566</v>
      </c>
      <c r="D333" s="29">
        <v>2017.4</v>
      </c>
      <c r="E333" s="29">
        <v>2023.5</v>
      </c>
      <c r="F333" s="29">
        <v>6.08</v>
      </c>
    </row>
    <row r="334" spans="1:6" ht="15" customHeight="1" x14ac:dyDescent="0.2">
      <c r="A334" s="8" t="s">
        <v>909</v>
      </c>
      <c r="B334" s="8" t="s">
        <v>787</v>
      </c>
      <c r="C334" s="8" t="s">
        <v>566</v>
      </c>
      <c r="D334" s="29">
        <v>2017.4</v>
      </c>
      <c r="E334" s="29">
        <v>2020.8</v>
      </c>
      <c r="F334" s="29">
        <v>3.33</v>
      </c>
    </row>
    <row r="335" spans="1:6" ht="15" customHeight="1" x14ac:dyDescent="0.2">
      <c r="A335" s="8" t="s">
        <v>910</v>
      </c>
      <c r="B335" s="8" t="s">
        <v>808</v>
      </c>
      <c r="C335" s="8" t="s">
        <v>560</v>
      </c>
      <c r="D335" s="29">
        <v>2018.2</v>
      </c>
      <c r="E335" s="29">
        <v>2023.2</v>
      </c>
      <c r="F335" s="29">
        <v>5.08</v>
      </c>
    </row>
    <row r="336" spans="1:6" ht="15" customHeight="1" x14ac:dyDescent="0.2">
      <c r="A336" s="8" t="s">
        <v>911</v>
      </c>
      <c r="B336" s="8" t="s">
        <v>912</v>
      </c>
      <c r="C336" s="8" t="s">
        <v>560</v>
      </c>
      <c r="D336" s="29">
        <v>2015.9</v>
      </c>
      <c r="E336" s="29">
        <v>2022.7</v>
      </c>
      <c r="F336" s="29">
        <v>6.75</v>
      </c>
    </row>
    <row r="337" spans="1:6" ht="15" customHeight="1" x14ac:dyDescent="0.2">
      <c r="A337" s="8" t="s">
        <v>692</v>
      </c>
      <c r="B337" s="8" t="s">
        <v>912</v>
      </c>
      <c r="C337" s="8" t="s">
        <v>566</v>
      </c>
      <c r="D337" s="29">
        <v>2016.8</v>
      </c>
      <c r="E337" s="29">
        <v>2021.9</v>
      </c>
      <c r="F337" s="29">
        <v>5.08</v>
      </c>
    </row>
    <row r="338" spans="1:6" ht="15" customHeight="1" x14ac:dyDescent="0.2">
      <c r="A338" s="8" t="s">
        <v>913</v>
      </c>
      <c r="B338" s="8" t="s">
        <v>912</v>
      </c>
      <c r="C338" s="8" t="s">
        <v>560</v>
      </c>
      <c r="D338" s="29">
        <v>2017.4</v>
      </c>
      <c r="E338" s="29">
        <v>2019.9</v>
      </c>
      <c r="F338" s="29">
        <v>2.5</v>
      </c>
    </row>
    <row r="339" spans="1:6" ht="15" customHeight="1" x14ac:dyDescent="0.2">
      <c r="A339" s="8" t="s">
        <v>914</v>
      </c>
      <c r="B339" s="8" t="s">
        <v>912</v>
      </c>
      <c r="C339" s="8" t="s">
        <v>761</v>
      </c>
      <c r="D339" s="29">
        <v>2018.4</v>
      </c>
      <c r="E339" s="29">
        <v>2020.9</v>
      </c>
      <c r="F339" s="29">
        <v>2.5</v>
      </c>
    </row>
    <row r="340" spans="1:6" ht="15" customHeight="1" x14ac:dyDescent="0.2">
      <c r="A340" s="8" t="s">
        <v>915</v>
      </c>
      <c r="B340" s="8" t="s">
        <v>912</v>
      </c>
      <c r="C340" s="8" t="s">
        <v>759</v>
      </c>
      <c r="D340" s="29">
        <v>2019.3</v>
      </c>
      <c r="E340" s="29">
        <v>2021.2</v>
      </c>
      <c r="F340" s="29">
        <v>1.83</v>
      </c>
    </row>
    <row r="341" spans="1:6" ht="15" customHeight="1" x14ac:dyDescent="0.2">
      <c r="A341" s="8" t="s">
        <v>710</v>
      </c>
      <c r="B341" s="8" t="s">
        <v>777</v>
      </c>
      <c r="C341" s="8" t="s">
        <v>562</v>
      </c>
      <c r="D341" s="29">
        <v>2019.3</v>
      </c>
      <c r="E341" s="29">
        <v>2021.9</v>
      </c>
      <c r="F341" s="29">
        <v>2.58</v>
      </c>
    </row>
    <row r="342" spans="1:6" ht="15" customHeight="1" x14ac:dyDescent="0.2">
      <c r="A342" s="8" t="s">
        <v>721</v>
      </c>
      <c r="B342" s="8" t="s">
        <v>912</v>
      </c>
      <c r="C342" s="8" t="s">
        <v>759</v>
      </c>
      <c r="D342" s="29">
        <v>2019.9</v>
      </c>
      <c r="E342" s="29">
        <v>2021.9</v>
      </c>
      <c r="F342" s="29">
        <v>2</v>
      </c>
    </row>
    <row r="343" spans="1:6" ht="15" customHeight="1" x14ac:dyDescent="0.2">
      <c r="A343" s="8" t="s">
        <v>916</v>
      </c>
      <c r="B343" s="8" t="s">
        <v>912</v>
      </c>
      <c r="C343" s="8" t="s">
        <v>759</v>
      </c>
      <c r="D343" s="29">
        <v>2020.8</v>
      </c>
      <c r="E343" s="29">
        <v>2021.2</v>
      </c>
      <c r="F343" s="29">
        <v>0.42</v>
      </c>
    </row>
    <row r="344" spans="1:6" ht="15" customHeight="1" x14ac:dyDescent="0.2">
      <c r="A344" s="8" t="s">
        <v>739</v>
      </c>
      <c r="B344" s="8" t="s">
        <v>912</v>
      </c>
      <c r="C344" s="8" t="s">
        <v>759</v>
      </c>
      <c r="D344" s="29">
        <v>2021</v>
      </c>
      <c r="E344" s="29">
        <v>2021.8</v>
      </c>
      <c r="F344" s="29">
        <v>0.75</v>
      </c>
    </row>
    <row r="345" spans="1:6" ht="15" customHeight="1" x14ac:dyDescent="0.2">
      <c r="A345" s="8" t="s">
        <v>917</v>
      </c>
      <c r="B345" s="8" t="s">
        <v>912</v>
      </c>
      <c r="C345" s="8" t="s">
        <v>560</v>
      </c>
      <c r="D345" s="29">
        <v>2021.3</v>
      </c>
      <c r="E345" s="29">
        <v>2021.6</v>
      </c>
      <c r="F345" s="29">
        <v>0.25</v>
      </c>
    </row>
    <row r="346" spans="1:6" ht="15" customHeight="1" x14ac:dyDescent="0.2">
      <c r="A346" s="8" t="s">
        <v>918</v>
      </c>
      <c r="B346" s="8" t="s">
        <v>777</v>
      </c>
      <c r="C346" s="8" t="s">
        <v>566</v>
      </c>
      <c r="D346" s="29">
        <v>2021.3</v>
      </c>
      <c r="E346" s="29">
        <v>2021.9</v>
      </c>
      <c r="F346" s="29">
        <v>0.57999999999999996</v>
      </c>
    </row>
    <row r="347" spans="1:6" ht="15" customHeight="1" x14ac:dyDescent="0.2">
      <c r="A347" s="8" t="s">
        <v>919</v>
      </c>
      <c r="B347" s="8" t="s">
        <v>777</v>
      </c>
      <c r="C347" s="8" t="s">
        <v>562</v>
      </c>
      <c r="D347" s="29">
        <v>2021.6</v>
      </c>
      <c r="E347" s="29">
        <v>2021.9</v>
      </c>
      <c r="F347" s="29">
        <v>0.33</v>
      </c>
    </row>
    <row r="348" spans="1:6" ht="15" customHeight="1" x14ac:dyDescent="0.2">
      <c r="A348" s="8" t="s">
        <v>920</v>
      </c>
      <c r="B348" s="8" t="s">
        <v>912</v>
      </c>
      <c r="C348" s="8" t="s">
        <v>564</v>
      </c>
      <c r="D348" s="29">
        <v>2023.5</v>
      </c>
      <c r="E348" s="29">
        <v>2024.6</v>
      </c>
      <c r="F348" s="29">
        <v>1.08</v>
      </c>
    </row>
    <row r="349" spans="1:6" ht="15" customHeight="1" x14ac:dyDescent="0.2">
      <c r="A349" s="8" t="s">
        <v>921</v>
      </c>
      <c r="B349" s="8" t="s">
        <v>912</v>
      </c>
      <c r="C349" s="8" t="s">
        <v>566</v>
      </c>
      <c r="D349" s="29">
        <v>2023.5</v>
      </c>
      <c r="E349" s="29">
        <v>2024</v>
      </c>
      <c r="F349" s="29">
        <v>0.5</v>
      </c>
    </row>
    <row r="350" spans="1:6" ht="15" customHeight="1" x14ac:dyDescent="0.2">
      <c r="A350" s="8" t="s">
        <v>922</v>
      </c>
      <c r="B350" s="8" t="s">
        <v>923</v>
      </c>
      <c r="C350" s="8" t="s">
        <v>560</v>
      </c>
      <c r="D350" s="29">
        <v>2012.5</v>
      </c>
      <c r="E350" s="29">
        <v>2020.3</v>
      </c>
      <c r="F350" s="29">
        <v>7.83</v>
      </c>
    </row>
    <row r="351" spans="1:6" ht="15" customHeight="1" x14ac:dyDescent="0.2">
      <c r="A351" s="8" t="s">
        <v>924</v>
      </c>
      <c r="B351" s="8" t="s">
        <v>923</v>
      </c>
      <c r="C351" s="8" t="s">
        <v>560</v>
      </c>
      <c r="D351" s="29">
        <v>2012.8</v>
      </c>
      <c r="E351" s="29">
        <v>2019.2</v>
      </c>
      <c r="F351" s="29">
        <v>6.33</v>
      </c>
    </row>
    <row r="352" spans="1:6" ht="15" customHeight="1" x14ac:dyDescent="0.2">
      <c r="A352" s="8" t="s">
        <v>925</v>
      </c>
      <c r="B352" s="8" t="s">
        <v>923</v>
      </c>
      <c r="C352" s="8" t="s">
        <v>560</v>
      </c>
      <c r="D352" s="29">
        <v>2012.8</v>
      </c>
      <c r="E352" s="29">
        <v>2022.9</v>
      </c>
      <c r="F352" s="29">
        <v>10.08</v>
      </c>
    </row>
    <row r="353" spans="1:6" ht="15" customHeight="1" x14ac:dyDescent="0.2">
      <c r="A353" s="8" t="s">
        <v>740</v>
      </c>
      <c r="B353" s="8" t="s">
        <v>923</v>
      </c>
      <c r="C353" s="8" t="s">
        <v>926</v>
      </c>
      <c r="D353" s="29">
        <v>2013.3</v>
      </c>
      <c r="E353" s="29">
        <v>2019.2</v>
      </c>
      <c r="F353" s="29">
        <v>5.83</v>
      </c>
    </row>
    <row r="354" spans="1:6" ht="15" customHeight="1" x14ac:dyDescent="0.2">
      <c r="A354" s="8" t="s">
        <v>927</v>
      </c>
      <c r="B354" s="8" t="s">
        <v>923</v>
      </c>
      <c r="C354" s="8" t="s">
        <v>560</v>
      </c>
      <c r="D354" s="29">
        <v>2013.8</v>
      </c>
      <c r="E354" s="29">
        <v>2021.6</v>
      </c>
      <c r="F354" s="29">
        <v>7.75</v>
      </c>
    </row>
    <row r="355" spans="1:6" ht="15" customHeight="1" x14ac:dyDescent="0.2">
      <c r="A355" s="8" t="s">
        <v>745</v>
      </c>
      <c r="B355" s="8" t="s">
        <v>923</v>
      </c>
      <c r="C355" s="8" t="s">
        <v>560</v>
      </c>
      <c r="D355" s="29">
        <v>2013.8</v>
      </c>
      <c r="E355" s="29">
        <v>2021.2</v>
      </c>
      <c r="F355" s="29">
        <v>7.33</v>
      </c>
    </row>
    <row r="356" spans="1:6" ht="15" customHeight="1" x14ac:dyDescent="0.2">
      <c r="A356" s="8" t="s">
        <v>921</v>
      </c>
      <c r="B356" s="8" t="s">
        <v>923</v>
      </c>
      <c r="C356" s="8" t="s">
        <v>562</v>
      </c>
      <c r="D356" s="29">
        <v>2014.4</v>
      </c>
      <c r="E356" s="29">
        <v>2019.5</v>
      </c>
      <c r="F356" s="29">
        <v>5.08</v>
      </c>
    </row>
    <row r="357" spans="1:6" ht="15" customHeight="1" x14ac:dyDescent="0.2">
      <c r="A357" s="8" t="s">
        <v>928</v>
      </c>
      <c r="B357" s="8" t="s">
        <v>923</v>
      </c>
      <c r="C357" s="8" t="s">
        <v>562</v>
      </c>
      <c r="D357" s="29">
        <v>2014.9</v>
      </c>
      <c r="E357" s="29">
        <v>2019.9</v>
      </c>
      <c r="F357" s="29">
        <v>5</v>
      </c>
    </row>
    <row r="358" spans="1:6" ht="15" customHeight="1" x14ac:dyDescent="0.2">
      <c r="A358" s="8" t="s">
        <v>929</v>
      </c>
      <c r="B358" s="8" t="s">
        <v>923</v>
      </c>
      <c r="C358" s="8" t="s">
        <v>562</v>
      </c>
      <c r="D358" s="29">
        <v>2014.9</v>
      </c>
      <c r="E358" s="29">
        <v>2019.9</v>
      </c>
      <c r="F358" s="29">
        <v>5</v>
      </c>
    </row>
    <row r="359" spans="1:6" ht="15" customHeight="1" x14ac:dyDescent="0.2">
      <c r="A359" s="8" t="s">
        <v>748</v>
      </c>
      <c r="B359" s="8" t="s">
        <v>923</v>
      </c>
      <c r="C359" s="8" t="s">
        <v>566</v>
      </c>
      <c r="D359" s="29">
        <v>2014.9</v>
      </c>
      <c r="E359" s="29">
        <v>2019.5</v>
      </c>
      <c r="F359" s="29">
        <v>4.58</v>
      </c>
    </row>
    <row r="360" spans="1:6" ht="15" customHeight="1" x14ac:dyDescent="0.2">
      <c r="A360" s="8" t="s">
        <v>930</v>
      </c>
      <c r="B360" s="8" t="s">
        <v>923</v>
      </c>
      <c r="C360" s="8" t="s">
        <v>566</v>
      </c>
      <c r="D360" s="29">
        <v>2015.1</v>
      </c>
      <c r="E360" s="29">
        <v>2019.3</v>
      </c>
      <c r="F360" s="29">
        <v>4.25</v>
      </c>
    </row>
    <row r="361" spans="1:6" ht="15" customHeight="1" x14ac:dyDescent="0.2">
      <c r="A361" s="8" t="s">
        <v>931</v>
      </c>
      <c r="B361" s="8" t="s">
        <v>932</v>
      </c>
      <c r="C361" s="8" t="s">
        <v>926</v>
      </c>
      <c r="D361" s="29">
        <v>2015.6</v>
      </c>
      <c r="E361" s="29">
        <v>2019.9</v>
      </c>
      <c r="F361" s="29">
        <v>4.33</v>
      </c>
    </row>
    <row r="362" spans="1:6" ht="15" customHeight="1" x14ac:dyDescent="0.2">
      <c r="A362" s="8" t="s">
        <v>752</v>
      </c>
      <c r="B362" s="8" t="s">
        <v>923</v>
      </c>
      <c r="C362" s="8" t="s">
        <v>564</v>
      </c>
      <c r="D362" s="29">
        <v>2015.7</v>
      </c>
      <c r="E362" s="29">
        <v>2021.9</v>
      </c>
      <c r="F362" s="29">
        <v>6.25</v>
      </c>
    </row>
    <row r="363" spans="1:6" ht="15" customHeight="1" x14ac:dyDescent="0.2">
      <c r="A363" s="8" t="s">
        <v>933</v>
      </c>
      <c r="B363" s="8" t="s">
        <v>923</v>
      </c>
      <c r="C363" s="8" t="s">
        <v>560</v>
      </c>
      <c r="D363" s="29">
        <v>2016</v>
      </c>
      <c r="E363" s="29">
        <v>2023.5</v>
      </c>
      <c r="F363" s="29">
        <v>7.5</v>
      </c>
    </row>
    <row r="364" spans="1:6" ht="15" customHeight="1" x14ac:dyDescent="0.2">
      <c r="A364" s="8" t="s">
        <v>934</v>
      </c>
      <c r="B364" s="8" t="s">
        <v>923</v>
      </c>
      <c r="C364" s="8" t="s">
        <v>560</v>
      </c>
      <c r="D364" s="29">
        <v>2016.3</v>
      </c>
      <c r="E364" s="29">
        <v>2022</v>
      </c>
      <c r="F364" s="29">
        <v>5.67</v>
      </c>
    </row>
    <row r="365" spans="1:6" ht="15" customHeight="1" x14ac:dyDescent="0.2">
      <c r="A365" s="8" t="s">
        <v>935</v>
      </c>
      <c r="B365" s="8" t="s">
        <v>923</v>
      </c>
      <c r="C365" s="8" t="s">
        <v>560</v>
      </c>
      <c r="D365" s="29">
        <v>2016.7</v>
      </c>
      <c r="E365" s="29">
        <v>2023.9</v>
      </c>
      <c r="F365" s="29">
        <v>7.25</v>
      </c>
    </row>
    <row r="366" spans="1:6" ht="15" customHeight="1" x14ac:dyDescent="0.2">
      <c r="A366" s="8" t="s">
        <v>936</v>
      </c>
      <c r="B366" s="8" t="s">
        <v>923</v>
      </c>
      <c r="C366" s="8" t="s">
        <v>566</v>
      </c>
      <c r="D366" s="29">
        <v>2017.8</v>
      </c>
      <c r="E366" s="29">
        <v>2022.7</v>
      </c>
      <c r="F366" s="29">
        <v>4.92</v>
      </c>
    </row>
    <row r="367" spans="1:6" ht="15" customHeight="1" x14ac:dyDescent="0.2">
      <c r="A367" s="8" t="s">
        <v>937</v>
      </c>
      <c r="B367" s="8" t="s">
        <v>923</v>
      </c>
      <c r="C367" s="8" t="s">
        <v>566</v>
      </c>
      <c r="D367" s="29">
        <v>2018</v>
      </c>
      <c r="E367" s="29">
        <v>2022.8</v>
      </c>
      <c r="F367" s="29">
        <v>4.83</v>
      </c>
    </row>
    <row r="368" spans="1:6" ht="15" customHeight="1" x14ac:dyDescent="0.2">
      <c r="A368" s="8" t="s">
        <v>938</v>
      </c>
      <c r="B368" s="8" t="s">
        <v>923</v>
      </c>
      <c r="C368" s="8" t="s">
        <v>759</v>
      </c>
      <c r="D368" s="29">
        <v>2018.2</v>
      </c>
      <c r="E368" s="29">
        <v>2019.3</v>
      </c>
      <c r="F368" s="29">
        <v>1.17</v>
      </c>
    </row>
    <row r="369" spans="1:6" ht="15" customHeight="1" x14ac:dyDescent="0.2">
      <c r="A369" s="8" t="s">
        <v>939</v>
      </c>
      <c r="B369" s="8" t="s">
        <v>923</v>
      </c>
      <c r="C369" s="8" t="s">
        <v>564</v>
      </c>
      <c r="D369" s="29">
        <v>2018.2</v>
      </c>
      <c r="E369" s="29">
        <v>2019.9</v>
      </c>
      <c r="F369" s="29">
        <v>1.75</v>
      </c>
    </row>
    <row r="370" spans="1:6" ht="15" customHeight="1" x14ac:dyDescent="0.2">
      <c r="A370" s="8" t="s">
        <v>940</v>
      </c>
      <c r="B370" s="8" t="s">
        <v>923</v>
      </c>
      <c r="C370" s="8" t="s">
        <v>566</v>
      </c>
      <c r="D370" s="29">
        <v>2018.4</v>
      </c>
      <c r="E370" s="29">
        <v>2022.8</v>
      </c>
      <c r="F370" s="29">
        <v>4.42</v>
      </c>
    </row>
    <row r="371" spans="1:6" ht="15" customHeight="1" x14ac:dyDescent="0.2">
      <c r="A371" s="8" t="s">
        <v>941</v>
      </c>
      <c r="B371" s="8" t="s">
        <v>923</v>
      </c>
      <c r="C371" s="8" t="s">
        <v>566</v>
      </c>
      <c r="D371" s="29">
        <v>2018.4</v>
      </c>
      <c r="E371" s="29">
        <v>2021.9</v>
      </c>
      <c r="F371" s="29">
        <v>3.5</v>
      </c>
    </row>
    <row r="372" spans="1:6" ht="15" customHeight="1" x14ac:dyDescent="0.2">
      <c r="A372" s="8" t="s">
        <v>942</v>
      </c>
      <c r="B372" s="8" t="s">
        <v>923</v>
      </c>
      <c r="C372" s="8" t="s">
        <v>566</v>
      </c>
      <c r="D372" s="29">
        <v>2018.4</v>
      </c>
      <c r="E372" s="29">
        <v>2023.8</v>
      </c>
      <c r="F372" s="29">
        <v>5.42</v>
      </c>
    </row>
    <row r="373" spans="1:6" ht="15" customHeight="1" x14ac:dyDescent="0.2">
      <c r="A373" s="8" t="s">
        <v>943</v>
      </c>
      <c r="B373" s="8" t="s">
        <v>923</v>
      </c>
      <c r="C373" s="8" t="s">
        <v>566</v>
      </c>
      <c r="D373" s="29">
        <v>2018.6</v>
      </c>
      <c r="E373" s="29">
        <v>2022.9</v>
      </c>
      <c r="F373" s="29">
        <v>4.33</v>
      </c>
    </row>
    <row r="374" spans="1:6" ht="15" customHeight="1" x14ac:dyDescent="0.2">
      <c r="A374" s="8" t="s">
        <v>944</v>
      </c>
      <c r="B374" s="8" t="s">
        <v>923</v>
      </c>
      <c r="C374" s="8" t="s">
        <v>564</v>
      </c>
      <c r="D374" s="29">
        <v>2018.7</v>
      </c>
      <c r="E374" s="29">
        <v>2022</v>
      </c>
      <c r="F374" s="29">
        <v>3.33</v>
      </c>
    </row>
    <row r="375" spans="1:6" ht="15" customHeight="1" x14ac:dyDescent="0.2">
      <c r="A375" s="8" t="s">
        <v>945</v>
      </c>
      <c r="B375" s="8" t="s">
        <v>923</v>
      </c>
      <c r="C375" s="8" t="s">
        <v>566</v>
      </c>
      <c r="D375" s="29">
        <v>2018.8</v>
      </c>
      <c r="E375" s="29">
        <v>2022.8</v>
      </c>
      <c r="F375" s="29">
        <v>4.08</v>
      </c>
    </row>
    <row r="376" spans="1:6" ht="15" customHeight="1" x14ac:dyDescent="0.2">
      <c r="A376" s="8" t="s">
        <v>946</v>
      </c>
      <c r="B376" s="8" t="s">
        <v>923</v>
      </c>
      <c r="C376" s="8" t="s">
        <v>564</v>
      </c>
      <c r="D376" s="29">
        <v>2018.8</v>
      </c>
      <c r="E376" s="29">
        <v>2023.7</v>
      </c>
      <c r="F376" s="29">
        <v>4.92</v>
      </c>
    </row>
    <row r="377" spans="1:6" ht="15" customHeight="1" x14ac:dyDescent="0.2">
      <c r="A377" s="8" t="s">
        <v>947</v>
      </c>
      <c r="B377" s="8" t="s">
        <v>923</v>
      </c>
      <c r="C377" s="8" t="s">
        <v>566</v>
      </c>
      <c r="D377" s="29">
        <v>2018.8</v>
      </c>
      <c r="E377" s="29">
        <v>2022.7</v>
      </c>
      <c r="F377" s="29">
        <v>3.92</v>
      </c>
    </row>
    <row r="378" spans="1:6" ht="15" customHeight="1" x14ac:dyDescent="0.2">
      <c r="A378" s="8" t="s">
        <v>948</v>
      </c>
      <c r="B378" s="8" t="s">
        <v>621</v>
      </c>
      <c r="C378" s="8" t="s">
        <v>566</v>
      </c>
      <c r="D378" s="29">
        <v>2017.9</v>
      </c>
      <c r="E378" s="29">
        <v>2020.4</v>
      </c>
      <c r="F378" s="29">
        <v>2.5</v>
      </c>
    </row>
    <row r="379" spans="1:6" ht="15" customHeight="1" x14ac:dyDescent="0.2">
      <c r="A379" s="8" t="s">
        <v>949</v>
      </c>
      <c r="B379" s="8" t="s">
        <v>621</v>
      </c>
      <c r="C379" s="8" t="s">
        <v>566</v>
      </c>
      <c r="D379" s="29">
        <v>2017.9</v>
      </c>
      <c r="E379" s="29">
        <v>2020.4</v>
      </c>
      <c r="F379" s="29">
        <v>2.5</v>
      </c>
    </row>
    <row r="380" spans="1:6" ht="15" customHeight="1" x14ac:dyDescent="0.2">
      <c r="A380" s="8" t="s">
        <v>950</v>
      </c>
      <c r="B380" s="8" t="s">
        <v>621</v>
      </c>
      <c r="C380" s="8" t="s">
        <v>796</v>
      </c>
      <c r="D380" s="29">
        <v>2019.3</v>
      </c>
      <c r="E380" s="29">
        <v>2020.3</v>
      </c>
      <c r="F380" s="29">
        <v>1</v>
      </c>
    </row>
    <row r="381" spans="1:6" ht="15" customHeight="1" x14ac:dyDescent="0.2">
      <c r="A381" s="8" t="s">
        <v>951</v>
      </c>
      <c r="B381" s="8" t="s">
        <v>787</v>
      </c>
      <c r="C381" s="8" t="s">
        <v>560</v>
      </c>
      <c r="D381" s="29">
        <v>2014.4</v>
      </c>
      <c r="E381" s="29">
        <v>2020</v>
      </c>
      <c r="F381" s="29">
        <v>5.58</v>
      </c>
    </row>
    <row r="382" spans="1:6" ht="15" customHeight="1" x14ac:dyDescent="0.2">
      <c r="A382" s="8" t="s">
        <v>952</v>
      </c>
      <c r="B382" s="8" t="s">
        <v>953</v>
      </c>
      <c r="C382" s="8" t="s">
        <v>562</v>
      </c>
      <c r="D382" s="29">
        <v>2014.6</v>
      </c>
      <c r="E382" s="29">
        <v>2019.8</v>
      </c>
      <c r="F382" s="29">
        <v>5.17</v>
      </c>
    </row>
    <row r="383" spans="1:6" ht="15" customHeight="1" x14ac:dyDescent="0.2">
      <c r="A383" s="8" t="s">
        <v>954</v>
      </c>
      <c r="B383" s="8" t="s">
        <v>655</v>
      </c>
      <c r="C383" s="8" t="s">
        <v>566</v>
      </c>
      <c r="D383" s="29">
        <v>2014.7</v>
      </c>
      <c r="E383" s="29">
        <v>2019</v>
      </c>
      <c r="F383" s="29">
        <v>4.33</v>
      </c>
    </row>
    <row r="384" spans="1:6" ht="15" customHeight="1" x14ac:dyDescent="0.2">
      <c r="A384" s="8" t="s">
        <v>955</v>
      </c>
      <c r="B384" s="8" t="s">
        <v>953</v>
      </c>
      <c r="C384" s="8" t="s">
        <v>562</v>
      </c>
      <c r="D384" s="29">
        <v>2014.8</v>
      </c>
      <c r="E384" s="29">
        <v>2019.7</v>
      </c>
      <c r="F384" s="29">
        <v>4.92</v>
      </c>
    </row>
    <row r="385" spans="1:6" ht="15" customHeight="1" x14ac:dyDescent="0.2">
      <c r="A385" s="8" t="s">
        <v>956</v>
      </c>
      <c r="B385" s="8" t="s">
        <v>953</v>
      </c>
      <c r="C385" s="8" t="s">
        <v>562</v>
      </c>
      <c r="D385" s="29">
        <v>2014.8</v>
      </c>
      <c r="E385" s="29">
        <v>2019</v>
      </c>
      <c r="F385" s="29">
        <v>4.25</v>
      </c>
    </row>
    <row r="386" spans="1:6" ht="15" customHeight="1" x14ac:dyDescent="0.2">
      <c r="A386" s="8" t="s">
        <v>957</v>
      </c>
      <c r="B386" s="8" t="s">
        <v>958</v>
      </c>
      <c r="C386" s="8" t="s">
        <v>566</v>
      </c>
      <c r="D386" s="29">
        <v>2014.8</v>
      </c>
      <c r="E386" s="29">
        <v>2020.3</v>
      </c>
      <c r="F386" s="29">
        <v>5.58</v>
      </c>
    </row>
    <row r="387" spans="1:6" ht="15" customHeight="1" x14ac:dyDescent="0.2">
      <c r="A387" s="8" t="s">
        <v>959</v>
      </c>
      <c r="B387" s="8" t="s">
        <v>960</v>
      </c>
      <c r="C387" s="8" t="s">
        <v>562</v>
      </c>
      <c r="D387" s="29">
        <v>2014.8</v>
      </c>
      <c r="E387" s="29">
        <v>2021.4</v>
      </c>
      <c r="F387" s="29">
        <v>6.67</v>
      </c>
    </row>
    <row r="388" spans="1:6" ht="15" customHeight="1" x14ac:dyDescent="0.2">
      <c r="A388" s="8" t="s">
        <v>961</v>
      </c>
      <c r="B388" s="8" t="s">
        <v>787</v>
      </c>
      <c r="C388" s="8" t="s">
        <v>562</v>
      </c>
      <c r="D388" s="29">
        <v>2014.8</v>
      </c>
      <c r="E388" s="29">
        <v>2023.3</v>
      </c>
      <c r="F388" s="29">
        <v>8.5</v>
      </c>
    </row>
    <row r="389" spans="1:6" ht="15" customHeight="1" x14ac:dyDescent="0.2">
      <c r="A389" s="8" t="s">
        <v>962</v>
      </c>
      <c r="B389" s="8" t="s">
        <v>787</v>
      </c>
      <c r="C389" s="8" t="s">
        <v>562</v>
      </c>
      <c r="D389" s="29">
        <v>2014.9</v>
      </c>
      <c r="E389" s="29">
        <v>2023.3</v>
      </c>
      <c r="F389" s="29">
        <v>8.42</v>
      </c>
    </row>
    <row r="390" spans="1:6" ht="15" customHeight="1" x14ac:dyDescent="0.2">
      <c r="A390" s="8" t="s">
        <v>963</v>
      </c>
      <c r="B390" s="8" t="s">
        <v>932</v>
      </c>
      <c r="C390" s="8" t="s">
        <v>564</v>
      </c>
      <c r="D390" s="29">
        <v>2015.1</v>
      </c>
      <c r="E390" s="29">
        <v>2023.2</v>
      </c>
      <c r="F390" s="29">
        <v>8.08</v>
      </c>
    </row>
    <row r="391" spans="1:6" ht="15" customHeight="1" x14ac:dyDescent="0.2">
      <c r="A391" s="8" t="s">
        <v>964</v>
      </c>
      <c r="B391" s="8" t="s">
        <v>655</v>
      </c>
      <c r="C391" s="8" t="s">
        <v>566</v>
      </c>
      <c r="D391" s="29">
        <v>2015.1</v>
      </c>
      <c r="E391" s="29">
        <v>2019.5</v>
      </c>
      <c r="F391" s="29">
        <v>4.42</v>
      </c>
    </row>
    <row r="392" spans="1:6" ht="15" customHeight="1" x14ac:dyDescent="0.2">
      <c r="A392" s="8" t="s">
        <v>965</v>
      </c>
      <c r="B392" s="8" t="s">
        <v>655</v>
      </c>
      <c r="C392" s="8" t="s">
        <v>566</v>
      </c>
      <c r="D392" s="29">
        <v>2015.1</v>
      </c>
      <c r="E392" s="29">
        <v>2019.8</v>
      </c>
      <c r="F392" s="29">
        <v>4.75</v>
      </c>
    </row>
    <row r="393" spans="1:6" ht="15" customHeight="1" x14ac:dyDescent="0.2">
      <c r="A393" s="8" t="s">
        <v>966</v>
      </c>
      <c r="B393" s="8" t="s">
        <v>932</v>
      </c>
      <c r="C393" s="8" t="s">
        <v>564</v>
      </c>
      <c r="D393" s="29">
        <v>2015.1</v>
      </c>
      <c r="E393" s="29">
        <v>2023.6</v>
      </c>
      <c r="F393" s="29">
        <v>8.5</v>
      </c>
    </row>
    <row r="394" spans="1:6" ht="15" customHeight="1" x14ac:dyDescent="0.2">
      <c r="A394" s="8" t="s">
        <v>967</v>
      </c>
      <c r="B394" s="8" t="s">
        <v>932</v>
      </c>
      <c r="C394" s="8" t="s">
        <v>564</v>
      </c>
      <c r="D394" s="29">
        <v>2015.1</v>
      </c>
      <c r="E394" s="29">
        <v>2023.6</v>
      </c>
      <c r="F394" s="29">
        <v>8.5</v>
      </c>
    </row>
    <row r="395" spans="1:6" ht="15" customHeight="1" x14ac:dyDescent="0.2">
      <c r="A395" s="8" t="s">
        <v>968</v>
      </c>
      <c r="B395" s="8" t="s">
        <v>932</v>
      </c>
      <c r="C395" s="8" t="s">
        <v>564</v>
      </c>
      <c r="D395" s="29">
        <v>2015.2</v>
      </c>
      <c r="E395" s="29">
        <v>2019</v>
      </c>
      <c r="F395" s="29">
        <v>3.83</v>
      </c>
    </row>
    <row r="396" spans="1:6" ht="15" customHeight="1" x14ac:dyDescent="0.2">
      <c r="A396" s="8" t="s">
        <v>969</v>
      </c>
      <c r="B396" s="8" t="s">
        <v>953</v>
      </c>
      <c r="C396" s="8" t="s">
        <v>562</v>
      </c>
      <c r="D396" s="29">
        <v>2015.2</v>
      </c>
      <c r="E396" s="29">
        <v>2019.1</v>
      </c>
      <c r="F396" s="29">
        <v>3.83</v>
      </c>
    </row>
    <row r="397" spans="1:6" ht="15" customHeight="1" x14ac:dyDescent="0.2">
      <c r="A397" s="8" t="s">
        <v>970</v>
      </c>
      <c r="B397" s="8" t="s">
        <v>779</v>
      </c>
      <c r="C397" s="8" t="s">
        <v>562</v>
      </c>
      <c r="D397" s="29">
        <v>2015.2</v>
      </c>
      <c r="E397" s="29">
        <v>2021.9</v>
      </c>
      <c r="F397" s="29">
        <v>6.67</v>
      </c>
    </row>
    <row r="398" spans="1:6" ht="15" customHeight="1" x14ac:dyDescent="0.2">
      <c r="A398" s="8" t="s">
        <v>971</v>
      </c>
      <c r="B398" s="8" t="s">
        <v>953</v>
      </c>
      <c r="C398" s="8" t="s">
        <v>562</v>
      </c>
      <c r="D398" s="29">
        <v>2015.2</v>
      </c>
      <c r="E398" s="29">
        <v>2019.1</v>
      </c>
      <c r="F398" s="29">
        <v>3.83</v>
      </c>
    </row>
    <row r="399" spans="1:6" ht="15" customHeight="1" x14ac:dyDescent="0.2">
      <c r="A399" s="8" t="s">
        <v>972</v>
      </c>
      <c r="B399" s="8" t="s">
        <v>655</v>
      </c>
      <c r="C399" s="8" t="s">
        <v>566</v>
      </c>
      <c r="D399" s="29">
        <v>2015.2</v>
      </c>
      <c r="E399" s="29">
        <v>2019.8</v>
      </c>
      <c r="F399" s="29">
        <v>4.58</v>
      </c>
    </row>
    <row r="400" spans="1:6" ht="15" customHeight="1" x14ac:dyDescent="0.2">
      <c r="A400" s="8" t="s">
        <v>973</v>
      </c>
      <c r="B400" s="8" t="s">
        <v>953</v>
      </c>
      <c r="C400" s="8" t="s">
        <v>562</v>
      </c>
      <c r="D400" s="29">
        <v>2015.2</v>
      </c>
      <c r="E400" s="29">
        <v>2021.2</v>
      </c>
      <c r="F400" s="29">
        <v>6</v>
      </c>
    </row>
    <row r="401" spans="1:6" ht="15" customHeight="1" x14ac:dyDescent="0.2">
      <c r="A401" s="8" t="s">
        <v>974</v>
      </c>
      <c r="B401" s="8" t="s">
        <v>655</v>
      </c>
      <c r="C401" s="8" t="s">
        <v>566</v>
      </c>
      <c r="D401" s="29">
        <v>2015.2</v>
      </c>
      <c r="E401" s="29">
        <v>2019.5</v>
      </c>
      <c r="F401" s="29">
        <v>4.25</v>
      </c>
    </row>
    <row r="402" spans="1:6" ht="15" customHeight="1" x14ac:dyDescent="0.2">
      <c r="A402" s="8" t="s">
        <v>975</v>
      </c>
      <c r="B402" s="8" t="s">
        <v>655</v>
      </c>
      <c r="C402" s="8" t="s">
        <v>566</v>
      </c>
      <c r="D402" s="29">
        <v>2015.2</v>
      </c>
      <c r="E402" s="29">
        <v>2020.9</v>
      </c>
      <c r="F402" s="29">
        <v>5.67</v>
      </c>
    </row>
    <row r="403" spans="1:6" ht="15" customHeight="1" x14ac:dyDescent="0.2">
      <c r="A403" s="8" t="s">
        <v>976</v>
      </c>
      <c r="B403" s="8" t="s">
        <v>932</v>
      </c>
      <c r="C403" s="8" t="s">
        <v>566</v>
      </c>
      <c r="D403" s="29">
        <v>2015.2</v>
      </c>
      <c r="E403" s="29">
        <v>2019.9</v>
      </c>
      <c r="F403" s="29">
        <v>4.67</v>
      </c>
    </row>
    <row r="404" spans="1:6" ht="15" customHeight="1" x14ac:dyDescent="0.2">
      <c r="A404" s="8" t="s">
        <v>977</v>
      </c>
      <c r="B404" s="8" t="s">
        <v>932</v>
      </c>
      <c r="C404" s="8" t="s">
        <v>566</v>
      </c>
      <c r="D404" s="29">
        <v>2015.3</v>
      </c>
      <c r="E404" s="29">
        <v>2020.7</v>
      </c>
      <c r="F404" s="29">
        <v>5.33</v>
      </c>
    </row>
    <row r="405" spans="1:6" ht="15" customHeight="1" x14ac:dyDescent="0.2">
      <c r="A405" s="8" t="s">
        <v>978</v>
      </c>
      <c r="B405" s="8" t="s">
        <v>960</v>
      </c>
      <c r="C405" s="8" t="s">
        <v>566</v>
      </c>
      <c r="D405" s="29">
        <v>2015.4</v>
      </c>
      <c r="E405" s="29">
        <v>2020.9</v>
      </c>
      <c r="F405" s="29">
        <v>5.5</v>
      </c>
    </row>
    <row r="406" spans="1:6" ht="15" customHeight="1" x14ac:dyDescent="0.2">
      <c r="A406" s="8" t="s">
        <v>979</v>
      </c>
      <c r="B406" s="8" t="s">
        <v>980</v>
      </c>
      <c r="C406" s="8" t="s">
        <v>566</v>
      </c>
      <c r="D406" s="29">
        <v>2015.5</v>
      </c>
      <c r="E406" s="29">
        <v>2020.7</v>
      </c>
      <c r="F406" s="29">
        <v>5.17</v>
      </c>
    </row>
    <row r="407" spans="1:6" ht="15" customHeight="1" x14ac:dyDescent="0.2">
      <c r="A407" s="8" t="s">
        <v>981</v>
      </c>
      <c r="B407" s="8" t="s">
        <v>953</v>
      </c>
      <c r="C407" s="8" t="s">
        <v>982</v>
      </c>
      <c r="D407" s="29">
        <v>2015.6</v>
      </c>
      <c r="E407" s="29">
        <v>2020.7</v>
      </c>
      <c r="F407" s="29">
        <v>5.08</v>
      </c>
    </row>
    <row r="408" spans="1:6" ht="15" customHeight="1" x14ac:dyDescent="0.2">
      <c r="A408" s="8" t="s">
        <v>983</v>
      </c>
      <c r="B408" s="8" t="s">
        <v>655</v>
      </c>
      <c r="C408" s="8" t="s">
        <v>566</v>
      </c>
      <c r="D408" s="29">
        <v>2015.7</v>
      </c>
      <c r="E408" s="29">
        <v>2020.9</v>
      </c>
      <c r="F408" s="29">
        <v>5.25</v>
      </c>
    </row>
    <row r="409" spans="1:6" ht="15" customHeight="1" x14ac:dyDescent="0.2">
      <c r="A409" s="8" t="s">
        <v>984</v>
      </c>
      <c r="B409" s="8" t="s">
        <v>958</v>
      </c>
      <c r="C409" s="8" t="s">
        <v>566</v>
      </c>
      <c r="D409" s="29">
        <v>2015.8</v>
      </c>
      <c r="E409" s="29">
        <v>2022.2</v>
      </c>
      <c r="F409" s="29">
        <v>6.5</v>
      </c>
    </row>
    <row r="410" spans="1:6" ht="15" customHeight="1" x14ac:dyDescent="0.2">
      <c r="A410" s="8" t="s">
        <v>985</v>
      </c>
      <c r="B410" s="8" t="s">
        <v>953</v>
      </c>
      <c r="C410" s="8" t="s">
        <v>562</v>
      </c>
      <c r="D410" s="29">
        <v>2015.8</v>
      </c>
      <c r="E410" s="29">
        <v>2021.2</v>
      </c>
      <c r="F410" s="29">
        <v>5.5</v>
      </c>
    </row>
    <row r="411" spans="1:6" ht="15" customHeight="1" x14ac:dyDescent="0.2">
      <c r="A411" s="8" t="s">
        <v>986</v>
      </c>
      <c r="B411" s="8" t="s">
        <v>787</v>
      </c>
      <c r="C411" s="8" t="s">
        <v>562</v>
      </c>
      <c r="D411" s="29">
        <v>2015.8</v>
      </c>
      <c r="E411" s="29">
        <v>2023.4</v>
      </c>
      <c r="F411" s="29">
        <v>7.67</v>
      </c>
    </row>
    <row r="412" spans="1:6" ht="15" customHeight="1" x14ac:dyDescent="0.2">
      <c r="A412" s="8" t="s">
        <v>987</v>
      </c>
      <c r="B412" s="8" t="s">
        <v>958</v>
      </c>
      <c r="C412" s="8" t="s">
        <v>566</v>
      </c>
      <c r="D412" s="29">
        <v>2015.8</v>
      </c>
      <c r="E412" s="29">
        <v>2025.8</v>
      </c>
      <c r="F412" s="29">
        <v>10</v>
      </c>
    </row>
    <row r="413" spans="1:6" ht="15" customHeight="1" x14ac:dyDescent="0.2">
      <c r="A413" s="8" t="s">
        <v>988</v>
      </c>
      <c r="B413" s="8" t="s">
        <v>958</v>
      </c>
      <c r="C413" s="8" t="s">
        <v>566</v>
      </c>
      <c r="D413" s="29">
        <v>2015.8</v>
      </c>
      <c r="E413" s="29">
        <v>2025.6</v>
      </c>
      <c r="F413" s="29">
        <v>9.83</v>
      </c>
    </row>
    <row r="414" spans="1:6" ht="15" customHeight="1" x14ac:dyDescent="0.2">
      <c r="A414" s="8" t="s">
        <v>989</v>
      </c>
      <c r="B414" s="8" t="s">
        <v>953</v>
      </c>
      <c r="C414" s="8" t="s">
        <v>566</v>
      </c>
      <c r="D414" s="29">
        <v>2015.8</v>
      </c>
      <c r="E414" s="29">
        <v>2020.6</v>
      </c>
      <c r="F414" s="29">
        <v>4.83</v>
      </c>
    </row>
    <row r="415" spans="1:6" ht="15" customHeight="1" x14ac:dyDescent="0.2">
      <c r="A415" s="8" t="s">
        <v>990</v>
      </c>
      <c r="B415" s="8" t="s">
        <v>953</v>
      </c>
      <c r="C415" s="8" t="s">
        <v>566</v>
      </c>
      <c r="D415" s="29">
        <v>2015.8</v>
      </c>
      <c r="E415" s="29">
        <v>2020.7</v>
      </c>
      <c r="F415" s="29">
        <v>4.92</v>
      </c>
    </row>
    <row r="416" spans="1:6" ht="15" customHeight="1" x14ac:dyDescent="0.2">
      <c r="A416" s="8" t="s">
        <v>991</v>
      </c>
      <c r="B416" s="8" t="s">
        <v>655</v>
      </c>
      <c r="C416" s="8" t="s">
        <v>566</v>
      </c>
      <c r="D416" s="29">
        <v>2015.8</v>
      </c>
      <c r="E416" s="29">
        <v>2024.6</v>
      </c>
      <c r="F416" s="29">
        <v>8.75</v>
      </c>
    </row>
    <row r="417" spans="1:6" ht="15" customHeight="1" x14ac:dyDescent="0.2">
      <c r="A417" s="8" t="s">
        <v>992</v>
      </c>
      <c r="B417" s="8" t="s">
        <v>932</v>
      </c>
      <c r="C417" s="8" t="s">
        <v>566</v>
      </c>
      <c r="D417" s="29">
        <v>2015.8</v>
      </c>
      <c r="E417" s="29">
        <v>2020.2</v>
      </c>
      <c r="F417" s="29">
        <v>4.42</v>
      </c>
    </row>
    <row r="418" spans="1:6" ht="15" customHeight="1" x14ac:dyDescent="0.2">
      <c r="A418" s="8" t="s">
        <v>993</v>
      </c>
      <c r="B418" s="8" t="s">
        <v>958</v>
      </c>
      <c r="C418" s="8" t="s">
        <v>566</v>
      </c>
      <c r="D418" s="29">
        <v>2015.8</v>
      </c>
      <c r="E418" s="29">
        <v>2022.8</v>
      </c>
      <c r="F418" s="29">
        <v>7</v>
      </c>
    </row>
    <row r="419" spans="1:6" ht="15" customHeight="1" x14ac:dyDescent="0.2">
      <c r="A419" s="8" t="s">
        <v>994</v>
      </c>
      <c r="B419" s="8" t="s">
        <v>958</v>
      </c>
      <c r="C419" s="8" t="s">
        <v>566</v>
      </c>
      <c r="D419" s="29">
        <v>2015.8</v>
      </c>
      <c r="E419" s="29">
        <v>2022.8</v>
      </c>
      <c r="F419" s="29">
        <v>7</v>
      </c>
    </row>
    <row r="420" spans="1:6" ht="15" customHeight="1" x14ac:dyDescent="0.2">
      <c r="A420" s="8" t="s">
        <v>995</v>
      </c>
      <c r="B420" s="8" t="s">
        <v>996</v>
      </c>
      <c r="C420" s="8" t="s">
        <v>560</v>
      </c>
      <c r="D420" s="29">
        <v>2015.8</v>
      </c>
      <c r="E420" s="29">
        <v>2020.2</v>
      </c>
      <c r="F420" s="29">
        <v>4.42</v>
      </c>
    </row>
    <row r="421" spans="1:6" ht="15" customHeight="1" x14ac:dyDescent="0.2">
      <c r="A421" s="8" t="s">
        <v>997</v>
      </c>
      <c r="B421" s="8" t="s">
        <v>953</v>
      </c>
      <c r="C421" s="8" t="s">
        <v>560</v>
      </c>
      <c r="D421" s="29">
        <v>2015.8</v>
      </c>
      <c r="E421" s="29">
        <v>2019.8</v>
      </c>
      <c r="F421" s="29">
        <v>4.08</v>
      </c>
    </row>
    <row r="422" spans="1:6" ht="15" customHeight="1" x14ac:dyDescent="0.2">
      <c r="A422" s="8" t="s">
        <v>998</v>
      </c>
      <c r="B422" s="8" t="s">
        <v>932</v>
      </c>
      <c r="C422" s="8" t="s">
        <v>566</v>
      </c>
      <c r="D422" s="29">
        <v>2015.8</v>
      </c>
      <c r="E422" s="29">
        <v>2021.8</v>
      </c>
      <c r="F422" s="29">
        <v>6.08</v>
      </c>
    </row>
    <row r="423" spans="1:6" ht="15" customHeight="1" x14ac:dyDescent="0.2">
      <c r="A423" s="8" t="s">
        <v>999</v>
      </c>
      <c r="B423" s="8" t="s">
        <v>980</v>
      </c>
      <c r="C423" s="8" t="s">
        <v>566</v>
      </c>
      <c r="D423" s="29">
        <v>2015.8</v>
      </c>
      <c r="E423" s="29">
        <v>2022.7</v>
      </c>
      <c r="F423" s="29">
        <v>6.92</v>
      </c>
    </row>
    <row r="424" spans="1:6" ht="15" customHeight="1" x14ac:dyDescent="0.2">
      <c r="A424" s="8" t="s">
        <v>1000</v>
      </c>
      <c r="B424" s="8" t="s">
        <v>980</v>
      </c>
      <c r="C424" s="8" t="s">
        <v>566</v>
      </c>
      <c r="D424" s="29">
        <v>2015.8</v>
      </c>
      <c r="E424" s="29">
        <v>2022.7</v>
      </c>
      <c r="F424" s="29">
        <v>6.92</v>
      </c>
    </row>
    <row r="425" spans="1:6" ht="15" customHeight="1" x14ac:dyDescent="0.2">
      <c r="A425" s="8" t="s">
        <v>1001</v>
      </c>
      <c r="B425" s="8" t="s">
        <v>655</v>
      </c>
      <c r="C425" s="8" t="s">
        <v>566</v>
      </c>
      <c r="D425" s="29">
        <v>2016.1</v>
      </c>
      <c r="E425" s="29">
        <v>2021.8</v>
      </c>
      <c r="F425" s="29">
        <v>5.67</v>
      </c>
    </row>
    <row r="426" spans="1:6" ht="15" customHeight="1" x14ac:dyDescent="0.2">
      <c r="A426" s="8" t="s">
        <v>1002</v>
      </c>
      <c r="B426" s="8" t="s">
        <v>980</v>
      </c>
      <c r="C426" s="8" t="s">
        <v>566</v>
      </c>
      <c r="D426" s="29">
        <v>2016.1</v>
      </c>
      <c r="E426" s="29">
        <v>2022.7</v>
      </c>
      <c r="F426" s="29">
        <v>6.58</v>
      </c>
    </row>
    <row r="427" spans="1:6" ht="15" customHeight="1" x14ac:dyDescent="0.2">
      <c r="A427" s="8" t="s">
        <v>1003</v>
      </c>
      <c r="B427" s="8" t="s">
        <v>958</v>
      </c>
      <c r="C427" s="8" t="s">
        <v>566</v>
      </c>
      <c r="D427" s="29">
        <v>2016.1</v>
      </c>
      <c r="E427" s="29">
        <v>2022.8</v>
      </c>
      <c r="F427" s="29">
        <v>6.67</v>
      </c>
    </row>
    <row r="428" spans="1:6" ht="15" customHeight="1" x14ac:dyDescent="0.2">
      <c r="A428" s="8" t="s">
        <v>1004</v>
      </c>
      <c r="B428" s="8" t="s">
        <v>980</v>
      </c>
      <c r="C428" s="8" t="s">
        <v>566</v>
      </c>
      <c r="D428" s="29">
        <v>2016.2</v>
      </c>
      <c r="E428" s="29">
        <v>2024.9</v>
      </c>
      <c r="F428" s="29">
        <v>8.75</v>
      </c>
    </row>
    <row r="429" spans="1:6" ht="15" customHeight="1" x14ac:dyDescent="0.2">
      <c r="A429" s="8" t="s">
        <v>1005</v>
      </c>
      <c r="B429" s="8" t="s">
        <v>980</v>
      </c>
      <c r="C429" s="8" t="s">
        <v>566</v>
      </c>
      <c r="D429" s="29">
        <v>2016.1</v>
      </c>
      <c r="E429" s="29">
        <v>2021.2</v>
      </c>
      <c r="F429" s="29">
        <v>5.17</v>
      </c>
    </row>
    <row r="430" spans="1:6" ht="15" customHeight="1" x14ac:dyDescent="0.2">
      <c r="A430" s="8" t="s">
        <v>1006</v>
      </c>
      <c r="B430" s="8" t="s">
        <v>787</v>
      </c>
      <c r="C430" s="8" t="s">
        <v>560</v>
      </c>
      <c r="D430" s="29">
        <v>2016.1</v>
      </c>
      <c r="E430" s="29">
        <v>2020.8</v>
      </c>
      <c r="F430" s="29">
        <v>4.67</v>
      </c>
    </row>
    <row r="431" spans="1:6" ht="15" customHeight="1" x14ac:dyDescent="0.2">
      <c r="A431" s="8" t="s">
        <v>1007</v>
      </c>
      <c r="B431" s="8" t="s">
        <v>932</v>
      </c>
      <c r="C431" s="8" t="s">
        <v>566</v>
      </c>
      <c r="D431" s="29">
        <v>2016.2</v>
      </c>
      <c r="E431" s="29">
        <v>2022.2</v>
      </c>
      <c r="F431" s="29">
        <v>6.08</v>
      </c>
    </row>
    <row r="432" spans="1:6" ht="15" customHeight="1" x14ac:dyDescent="0.2">
      <c r="A432" s="8" t="s">
        <v>1008</v>
      </c>
      <c r="B432" s="8" t="s">
        <v>655</v>
      </c>
      <c r="C432" s="8" t="s">
        <v>566</v>
      </c>
      <c r="D432" s="29">
        <v>2016.2</v>
      </c>
      <c r="E432" s="29">
        <v>2020.8</v>
      </c>
      <c r="F432" s="29">
        <v>4.58</v>
      </c>
    </row>
    <row r="433" spans="1:6" ht="15" customHeight="1" x14ac:dyDescent="0.2">
      <c r="A433" s="8" t="s">
        <v>1009</v>
      </c>
      <c r="B433" s="8" t="s">
        <v>980</v>
      </c>
      <c r="C433" s="8" t="s">
        <v>566</v>
      </c>
      <c r="D433" s="29">
        <v>2016.2</v>
      </c>
      <c r="E433" s="29">
        <v>2020.5</v>
      </c>
      <c r="F433" s="29">
        <v>4.33</v>
      </c>
    </row>
    <row r="434" spans="1:6" ht="15" customHeight="1" x14ac:dyDescent="0.2">
      <c r="A434" s="8" t="s">
        <v>1010</v>
      </c>
      <c r="B434" s="8" t="s">
        <v>960</v>
      </c>
      <c r="C434" s="8" t="s">
        <v>562</v>
      </c>
      <c r="D434" s="29">
        <v>2016.2</v>
      </c>
      <c r="E434" s="29">
        <v>2023.2</v>
      </c>
      <c r="F434" s="29">
        <v>7.08</v>
      </c>
    </row>
    <row r="435" spans="1:6" ht="15" customHeight="1" x14ac:dyDescent="0.2">
      <c r="A435" s="8" t="s">
        <v>1011</v>
      </c>
      <c r="B435" s="8" t="s">
        <v>787</v>
      </c>
      <c r="C435" s="8" t="s">
        <v>560</v>
      </c>
      <c r="D435" s="29">
        <v>2016.2</v>
      </c>
      <c r="E435" s="29">
        <v>2023.3</v>
      </c>
      <c r="F435" s="29">
        <v>7.17</v>
      </c>
    </row>
    <row r="436" spans="1:6" ht="15" customHeight="1" x14ac:dyDescent="0.2">
      <c r="A436" s="8" t="s">
        <v>1012</v>
      </c>
      <c r="B436" s="8" t="s">
        <v>980</v>
      </c>
      <c r="C436" s="8" t="s">
        <v>566</v>
      </c>
      <c r="D436" s="29">
        <v>2016.2</v>
      </c>
      <c r="E436" s="29">
        <v>2024.4</v>
      </c>
      <c r="F436" s="29">
        <v>8.17</v>
      </c>
    </row>
    <row r="437" spans="1:6" ht="15" customHeight="1" x14ac:dyDescent="0.2">
      <c r="A437" s="8" t="s">
        <v>1013</v>
      </c>
      <c r="B437" s="8" t="s">
        <v>980</v>
      </c>
      <c r="C437" s="8" t="s">
        <v>566</v>
      </c>
      <c r="D437" s="29">
        <v>2016.2</v>
      </c>
      <c r="E437" s="29">
        <v>2024.4</v>
      </c>
      <c r="F437" s="29">
        <v>8.17</v>
      </c>
    </row>
    <row r="438" spans="1:6" ht="15" customHeight="1" x14ac:dyDescent="0.2">
      <c r="A438" s="8" t="s">
        <v>1014</v>
      </c>
      <c r="B438" s="8" t="s">
        <v>980</v>
      </c>
      <c r="C438" s="8" t="s">
        <v>566</v>
      </c>
      <c r="D438" s="29">
        <v>2016.2</v>
      </c>
      <c r="E438" s="29">
        <v>2024.4</v>
      </c>
      <c r="F438" s="29">
        <v>8.17</v>
      </c>
    </row>
    <row r="439" spans="1:6" ht="15" customHeight="1" x14ac:dyDescent="0.2">
      <c r="A439" s="8" t="s">
        <v>1015</v>
      </c>
      <c r="B439" s="8" t="s">
        <v>960</v>
      </c>
      <c r="C439" s="8" t="s">
        <v>562</v>
      </c>
      <c r="D439" s="29">
        <v>2016.2</v>
      </c>
      <c r="E439" s="29">
        <v>2021.4</v>
      </c>
      <c r="F439" s="29">
        <v>5.17</v>
      </c>
    </row>
    <row r="440" spans="1:6" ht="15" customHeight="1" x14ac:dyDescent="0.2">
      <c r="A440" s="8" t="s">
        <v>1016</v>
      </c>
      <c r="B440" s="8" t="s">
        <v>958</v>
      </c>
      <c r="C440" s="8" t="s">
        <v>566</v>
      </c>
      <c r="D440" s="29">
        <v>2016.2</v>
      </c>
      <c r="E440" s="29">
        <v>2020.8</v>
      </c>
      <c r="F440" s="29">
        <v>4.5</v>
      </c>
    </row>
    <row r="441" spans="1:6" ht="15" customHeight="1" x14ac:dyDescent="0.2">
      <c r="A441" s="8" t="s">
        <v>1017</v>
      </c>
      <c r="B441" s="8" t="s">
        <v>655</v>
      </c>
      <c r="C441" s="8" t="s">
        <v>566</v>
      </c>
      <c r="D441" s="29">
        <v>2016.2</v>
      </c>
      <c r="E441" s="29">
        <v>2023.5</v>
      </c>
      <c r="F441" s="29">
        <v>7.25</v>
      </c>
    </row>
    <row r="442" spans="1:6" ht="15" customHeight="1" x14ac:dyDescent="0.2">
      <c r="A442" s="8" t="s">
        <v>1018</v>
      </c>
      <c r="B442" s="8" t="s">
        <v>980</v>
      </c>
      <c r="C442" s="8" t="s">
        <v>566</v>
      </c>
      <c r="D442" s="29">
        <v>2016.2</v>
      </c>
      <c r="E442" s="29">
        <v>2021</v>
      </c>
      <c r="F442" s="29">
        <v>4.75</v>
      </c>
    </row>
    <row r="443" spans="1:6" ht="15" customHeight="1" x14ac:dyDescent="0.2">
      <c r="A443" s="8" t="s">
        <v>1019</v>
      </c>
      <c r="B443" s="8" t="s">
        <v>953</v>
      </c>
      <c r="C443" s="8" t="s">
        <v>562</v>
      </c>
      <c r="D443" s="29">
        <v>2016.2</v>
      </c>
      <c r="E443" s="29">
        <v>2019.1</v>
      </c>
      <c r="F443" s="29">
        <v>2.83</v>
      </c>
    </row>
    <row r="444" spans="1:6" ht="15" customHeight="1" x14ac:dyDescent="0.2">
      <c r="A444" s="8" t="s">
        <v>1020</v>
      </c>
      <c r="B444" s="8" t="s">
        <v>980</v>
      </c>
      <c r="C444" s="8" t="s">
        <v>566</v>
      </c>
      <c r="D444" s="29">
        <v>2016.2</v>
      </c>
      <c r="E444" s="29">
        <v>2019.8</v>
      </c>
      <c r="F444" s="29">
        <v>3.58</v>
      </c>
    </row>
    <row r="445" spans="1:6" ht="15" customHeight="1" x14ac:dyDescent="0.2">
      <c r="A445" s="8" t="s">
        <v>1021</v>
      </c>
      <c r="B445" s="8" t="s">
        <v>958</v>
      </c>
      <c r="C445" s="8" t="s">
        <v>566</v>
      </c>
      <c r="D445" s="29">
        <v>2016.2</v>
      </c>
      <c r="E445" s="29">
        <v>2025.4</v>
      </c>
      <c r="F445" s="29">
        <v>9.17</v>
      </c>
    </row>
    <row r="446" spans="1:6" ht="15" customHeight="1" x14ac:dyDescent="0.2">
      <c r="A446" s="8" t="s">
        <v>1022</v>
      </c>
      <c r="B446" s="8" t="s">
        <v>958</v>
      </c>
      <c r="C446" s="8" t="s">
        <v>566</v>
      </c>
      <c r="D446" s="29">
        <v>2016.2</v>
      </c>
      <c r="E446" s="29">
        <v>2022.8</v>
      </c>
      <c r="F446" s="29">
        <v>6.5</v>
      </c>
    </row>
    <row r="447" spans="1:6" ht="15" customHeight="1" x14ac:dyDescent="0.2">
      <c r="A447" s="8" t="s">
        <v>1023</v>
      </c>
      <c r="B447" s="8" t="s">
        <v>958</v>
      </c>
      <c r="C447" s="8" t="s">
        <v>566</v>
      </c>
      <c r="D447" s="29">
        <v>2016.2</v>
      </c>
      <c r="E447" s="29">
        <v>2019.9</v>
      </c>
      <c r="F447" s="29">
        <v>3.67</v>
      </c>
    </row>
    <row r="448" spans="1:6" ht="15" customHeight="1" x14ac:dyDescent="0.2">
      <c r="A448" s="8" t="s">
        <v>1024</v>
      </c>
      <c r="B448" s="8" t="s">
        <v>980</v>
      </c>
      <c r="C448" s="8" t="s">
        <v>566</v>
      </c>
      <c r="D448" s="29">
        <v>2016.2</v>
      </c>
      <c r="E448" s="29">
        <v>2021.4</v>
      </c>
      <c r="F448" s="29">
        <v>5.17</v>
      </c>
    </row>
    <row r="449" spans="1:6" ht="15" customHeight="1" x14ac:dyDescent="0.2">
      <c r="A449" s="8" t="s">
        <v>1025</v>
      </c>
      <c r="B449" s="8" t="s">
        <v>980</v>
      </c>
      <c r="C449" s="8" t="s">
        <v>566</v>
      </c>
      <c r="D449" s="29">
        <v>2016.3</v>
      </c>
      <c r="E449" s="29">
        <v>2024.2</v>
      </c>
      <c r="F449" s="29">
        <v>7.83</v>
      </c>
    </row>
    <row r="450" spans="1:6" ht="15" customHeight="1" x14ac:dyDescent="0.2">
      <c r="A450" s="8" t="s">
        <v>1026</v>
      </c>
      <c r="B450" s="8" t="s">
        <v>655</v>
      </c>
      <c r="C450" s="8" t="s">
        <v>566</v>
      </c>
      <c r="D450" s="29">
        <v>2016.2</v>
      </c>
      <c r="E450" s="29">
        <v>2019.8</v>
      </c>
      <c r="F450" s="29">
        <v>3.58</v>
      </c>
    </row>
    <row r="451" spans="1:6" ht="15" customHeight="1" x14ac:dyDescent="0.2">
      <c r="A451" s="8" t="s">
        <v>1027</v>
      </c>
      <c r="B451" s="8" t="s">
        <v>960</v>
      </c>
      <c r="C451" s="8" t="s">
        <v>566</v>
      </c>
      <c r="D451" s="29">
        <v>2016.2</v>
      </c>
      <c r="E451" s="29">
        <v>2020.8</v>
      </c>
      <c r="F451" s="29">
        <v>4.5</v>
      </c>
    </row>
    <row r="452" spans="1:6" ht="15" customHeight="1" x14ac:dyDescent="0.2">
      <c r="A452" s="8" t="s">
        <v>1028</v>
      </c>
      <c r="B452" s="8" t="s">
        <v>958</v>
      </c>
      <c r="C452" s="8" t="s">
        <v>566</v>
      </c>
      <c r="D452" s="29">
        <v>2016.2</v>
      </c>
      <c r="E452" s="29">
        <v>2024.1</v>
      </c>
      <c r="F452" s="29">
        <v>7.83</v>
      </c>
    </row>
    <row r="453" spans="1:6" ht="15" customHeight="1" x14ac:dyDescent="0.2">
      <c r="A453" s="8" t="s">
        <v>1029</v>
      </c>
      <c r="B453" s="8" t="s">
        <v>980</v>
      </c>
      <c r="C453" s="8" t="s">
        <v>566</v>
      </c>
      <c r="D453" s="29">
        <v>2016.2</v>
      </c>
      <c r="E453" s="29">
        <v>2020.9</v>
      </c>
      <c r="F453" s="29">
        <v>4.67</v>
      </c>
    </row>
    <row r="454" spans="1:6" ht="15" customHeight="1" x14ac:dyDescent="0.2">
      <c r="A454" s="8" t="s">
        <v>1030</v>
      </c>
      <c r="B454" s="8" t="s">
        <v>1031</v>
      </c>
      <c r="C454" s="8" t="s">
        <v>566</v>
      </c>
      <c r="D454" s="29">
        <v>2016.2</v>
      </c>
      <c r="E454" s="29">
        <v>2022.9</v>
      </c>
      <c r="F454" s="29">
        <v>6.67</v>
      </c>
    </row>
    <row r="455" spans="1:6" ht="15" customHeight="1" x14ac:dyDescent="0.2">
      <c r="A455" s="8" t="s">
        <v>1032</v>
      </c>
      <c r="B455" s="8" t="s">
        <v>980</v>
      </c>
      <c r="C455" s="8" t="s">
        <v>566</v>
      </c>
      <c r="D455" s="29">
        <v>2016.2</v>
      </c>
      <c r="E455" s="29">
        <v>2022</v>
      </c>
      <c r="F455" s="29">
        <v>5.75</v>
      </c>
    </row>
    <row r="456" spans="1:6" ht="15" customHeight="1" x14ac:dyDescent="0.2">
      <c r="A456" s="8" t="s">
        <v>1033</v>
      </c>
      <c r="B456" s="8" t="s">
        <v>787</v>
      </c>
      <c r="C456" s="8" t="s">
        <v>560</v>
      </c>
      <c r="D456" s="29">
        <v>2016.2</v>
      </c>
      <c r="E456" s="29">
        <v>2019.1</v>
      </c>
      <c r="F456" s="29">
        <v>2.83</v>
      </c>
    </row>
    <row r="457" spans="1:6" ht="15" customHeight="1" x14ac:dyDescent="0.2">
      <c r="A457" s="8" t="s">
        <v>1034</v>
      </c>
      <c r="B457" s="8" t="s">
        <v>960</v>
      </c>
      <c r="C457" s="8" t="s">
        <v>566</v>
      </c>
      <c r="D457" s="29">
        <v>2016.3</v>
      </c>
      <c r="E457" s="29">
        <v>2023.6</v>
      </c>
      <c r="F457" s="29">
        <v>7.25</v>
      </c>
    </row>
    <row r="458" spans="1:6" ht="15" customHeight="1" x14ac:dyDescent="0.2">
      <c r="A458" s="8" t="s">
        <v>1035</v>
      </c>
      <c r="B458" s="8" t="s">
        <v>958</v>
      </c>
      <c r="C458" s="8" t="s">
        <v>657</v>
      </c>
      <c r="D458" s="29">
        <v>2016.4</v>
      </c>
      <c r="E458" s="29">
        <v>2023.1</v>
      </c>
      <c r="F458" s="29">
        <v>6.67</v>
      </c>
    </row>
    <row r="459" spans="1:6" ht="15" customHeight="1" x14ac:dyDescent="0.2">
      <c r="A459" s="8" t="s">
        <v>1036</v>
      </c>
      <c r="B459" s="8" t="s">
        <v>932</v>
      </c>
      <c r="C459" s="8" t="s">
        <v>566</v>
      </c>
      <c r="D459" s="29">
        <v>2016.5</v>
      </c>
      <c r="E459" s="29">
        <v>2020.3</v>
      </c>
      <c r="F459" s="29">
        <v>3.83</v>
      </c>
    </row>
    <row r="460" spans="1:6" ht="15" customHeight="1" x14ac:dyDescent="0.2">
      <c r="A460" s="8" t="s">
        <v>1037</v>
      </c>
      <c r="B460" s="8" t="s">
        <v>953</v>
      </c>
      <c r="C460" s="8" t="s">
        <v>564</v>
      </c>
      <c r="D460" s="29">
        <v>2016.5</v>
      </c>
      <c r="E460" s="29">
        <v>2019.1</v>
      </c>
      <c r="F460" s="29">
        <v>2.58</v>
      </c>
    </row>
    <row r="461" spans="1:6" ht="15" customHeight="1" x14ac:dyDescent="0.2">
      <c r="A461" s="8" t="s">
        <v>1038</v>
      </c>
      <c r="B461" s="8" t="s">
        <v>787</v>
      </c>
      <c r="C461" s="8" t="s">
        <v>560</v>
      </c>
      <c r="D461" s="29">
        <v>2016.6</v>
      </c>
      <c r="E461" s="29">
        <v>2024</v>
      </c>
      <c r="F461" s="29">
        <v>7.42</v>
      </c>
    </row>
    <row r="462" spans="1:6" ht="15" customHeight="1" x14ac:dyDescent="0.2">
      <c r="A462" s="8" t="s">
        <v>1039</v>
      </c>
      <c r="B462" s="8" t="s">
        <v>980</v>
      </c>
      <c r="C462" s="8" t="s">
        <v>566</v>
      </c>
      <c r="D462" s="29">
        <v>2016.6</v>
      </c>
      <c r="E462" s="29">
        <v>2020.9</v>
      </c>
      <c r="F462" s="29">
        <v>4.33</v>
      </c>
    </row>
    <row r="463" spans="1:6" ht="15" customHeight="1" x14ac:dyDescent="0.2">
      <c r="A463" s="8" t="s">
        <v>1040</v>
      </c>
      <c r="B463" s="8" t="s">
        <v>980</v>
      </c>
      <c r="C463" s="8" t="s">
        <v>566</v>
      </c>
      <c r="D463" s="29">
        <v>2016.7</v>
      </c>
      <c r="E463" s="29">
        <v>2023.1</v>
      </c>
      <c r="F463" s="29">
        <v>6.42</v>
      </c>
    </row>
    <row r="464" spans="1:6" ht="15" customHeight="1" x14ac:dyDescent="0.2">
      <c r="A464" s="8" t="s">
        <v>1041</v>
      </c>
      <c r="B464" s="8" t="s">
        <v>960</v>
      </c>
      <c r="C464" s="8" t="s">
        <v>562</v>
      </c>
      <c r="D464" s="29">
        <v>2016.6</v>
      </c>
      <c r="E464" s="29">
        <v>2022.9</v>
      </c>
      <c r="F464" s="29">
        <v>6.33</v>
      </c>
    </row>
    <row r="465" spans="1:6" ht="15" customHeight="1" x14ac:dyDescent="0.2">
      <c r="A465" s="8" t="s">
        <v>1042</v>
      </c>
      <c r="B465" s="8" t="s">
        <v>787</v>
      </c>
      <c r="C465" s="8" t="s">
        <v>560</v>
      </c>
      <c r="D465" s="29">
        <v>2016.7</v>
      </c>
      <c r="E465" s="29">
        <v>2025.8</v>
      </c>
      <c r="F465" s="29">
        <v>9.17</v>
      </c>
    </row>
    <row r="466" spans="1:6" ht="15" customHeight="1" x14ac:dyDescent="0.2">
      <c r="A466" s="8" t="s">
        <v>1043</v>
      </c>
      <c r="B466" s="8" t="s">
        <v>655</v>
      </c>
      <c r="C466" s="8" t="s">
        <v>566</v>
      </c>
      <c r="D466" s="29">
        <v>2016.6</v>
      </c>
      <c r="E466" s="29">
        <v>2021.8</v>
      </c>
      <c r="F466" s="29">
        <v>5.17</v>
      </c>
    </row>
    <row r="467" spans="1:6" ht="15" customHeight="1" x14ac:dyDescent="0.2">
      <c r="A467" s="8" t="s">
        <v>1044</v>
      </c>
      <c r="B467" s="8" t="s">
        <v>960</v>
      </c>
      <c r="C467" s="8" t="s">
        <v>566</v>
      </c>
      <c r="D467" s="29">
        <v>2016.7</v>
      </c>
      <c r="E467" s="29">
        <v>2025</v>
      </c>
      <c r="F467" s="29">
        <v>8.33</v>
      </c>
    </row>
    <row r="468" spans="1:6" ht="15" customHeight="1" x14ac:dyDescent="0.2">
      <c r="A468" s="8" t="s">
        <v>1045</v>
      </c>
      <c r="B468" s="8" t="s">
        <v>960</v>
      </c>
      <c r="C468" s="8" t="s">
        <v>566</v>
      </c>
      <c r="D468" s="29">
        <v>2016.7</v>
      </c>
      <c r="E468" s="29">
        <v>2025</v>
      </c>
      <c r="F468" s="29">
        <v>8.33</v>
      </c>
    </row>
    <row r="469" spans="1:6" ht="15" customHeight="1" x14ac:dyDescent="0.2">
      <c r="A469" s="8" t="s">
        <v>1046</v>
      </c>
      <c r="B469" s="8" t="s">
        <v>1047</v>
      </c>
      <c r="C469" s="8" t="s">
        <v>566</v>
      </c>
      <c r="D469" s="29">
        <v>2016.7</v>
      </c>
      <c r="E469" s="29">
        <v>2025.7</v>
      </c>
      <c r="F469" s="29">
        <v>9</v>
      </c>
    </row>
    <row r="470" spans="1:6" ht="15" customHeight="1" x14ac:dyDescent="0.2">
      <c r="A470" s="8" t="s">
        <v>1048</v>
      </c>
      <c r="B470" s="8" t="s">
        <v>980</v>
      </c>
      <c r="C470" s="8" t="s">
        <v>566</v>
      </c>
      <c r="D470" s="29">
        <v>2016.7</v>
      </c>
      <c r="E470" s="29">
        <v>2021.2</v>
      </c>
      <c r="F470" s="29">
        <v>4.58</v>
      </c>
    </row>
    <row r="471" spans="1:6" ht="15" customHeight="1" x14ac:dyDescent="0.2">
      <c r="A471" s="8" t="s">
        <v>1049</v>
      </c>
      <c r="B471" s="8" t="s">
        <v>980</v>
      </c>
      <c r="C471" s="8" t="s">
        <v>566</v>
      </c>
      <c r="D471" s="29">
        <v>2016.8</v>
      </c>
      <c r="E471" s="29">
        <v>2024.7</v>
      </c>
      <c r="F471" s="29">
        <v>7.92</v>
      </c>
    </row>
    <row r="472" spans="1:6" ht="15" customHeight="1" x14ac:dyDescent="0.2">
      <c r="A472" s="8" t="s">
        <v>1050</v>
      </c>
      <c r="B472" s="8" t="s">
        <v>960</v>
      </c>
      <c r="C472" s="8" t="s">
        <v>566</v>
      </c>
      <c r="D472" s="29">
        <v>2016.8</v>
      </c>
      <c r="E472" s="29">
        <v>2023.5</v>
      </c>
      <c r="F472" s="29">
        <v>6.75</v>
      </c>
    </row>
    <row r="473" spans="1:6" ht="15" customHeight="1" x14ac:dyDescent="0.2">
      <c r="A473" s="8" t="s">
        <v>1051</v>
      </c>
      <c r="B473" s="8" t="s">
        <v>980</v>
      </c>
      <c r="C473" s="8" t="s">
        <v>566</v>
      </c>
      <c r="D473" s="29">
        <v>2016.7</v>
      </c>
      <c r="E473" s="29">
        <v>2021.2</v>
      </c>
      <c r="F473" s="29">
        <v>4.58</v>
      </c>
    </row>
    <row r="474" spans="1:6" ht="15" customHeight="1" x14ac:dyDescent="0.2">
      <c r="A474" s="8" t="s">
        <v>1052</v>
      </c>
      <c r="B474" s="8" t="s">
        <v>980</v>
      </c>
      <c r="C474" s="8" t="s">
        <v>566</v>
      </c>
      <c r="D474" s="29">
        <v>2016.7</v>
      </c>
      <c r="E474" s="29">
        <v>2022.7</v>
      </c>
      <c r="F474" s="29">
        <v>6</v>
      </c>
    </row>
    <row r="475" spans="1:6" ht="15" customHeight="1" x14ac:dyDescent="0.2">
      <c r="A475" s="8" t="s">
        <v>1053</v>
      </c>
      <c r="B475" s="8" t="s">
        <v>960</v>
      </c>
      <c r="C475" s="8" t="s">
        <v>566</v>
      </c>
      <c r="D475" s="29">
        <v>2016.8</v>
      </c>
      <c r="E475" s="29">
        <v>2024.6</v>
      </c>
      <c r="F475" s="29">
        <v>7.83</v>
      </c>
    </row>
    <row r="476" spans="1:6" ht="15" customHeight="1" x14ac:dyDescent="0.2">
      <c r="A476" s="8" t="s">
        <v>1054</v>
      </c>
      <c r="B476" s="8" t="s">
        <v>953</v>
      </c>
      <c r="C476" s="8" t="s">
        <v>566</v>
      </c>
      <c r="D476" s="29">
        <v>2016.8</v>
      </c>
      <c r="E476" s="29">
        <v>2020</v>
      </c>
      <c r="F476" s="29">
        <v>3.25</v>
      </c>
    </row>
    <row r="477" spans="1:6" ht="15" customHeight="1" x14ac:dyDescent="0.2">
      <c r="A477" s="8" t="s">
        <v>1055</v>
      </c>
      <c r="B477" s="8" t="s">
        <v>960</v>
      </c>
      <c r="C477" s="8" t="s">
        <v>566</v>
      </c>
      <c r="D477" s="29">
        <v>2016.8</v>
      </c>
      <c r="E477" s="29">
        <v>2024.7</v>
      </c>
      <c r="F477" s="29">
        <v>7.92</v>
      </c>
    </row>
    <row r="478" spans="1:6" ht="15" customHeight="1" x14ac:dyDescent="0.2">
      <c r="A478" s="8" t="s">
        <v>1056</v>
      </c>
      <c r="B478" s="8" t="s">
        <v>655</v>
      </c>
      <c r="C478" s="8" t="s">
        <v>566</v>
      </c>
      <c r="D478" s="29">
        <v>2016.8</v>
      </c>
      <c r="E478" s="29">
        <v>2025.8</v>
      </c>
      <c r="F478" s="29">
        <v>9.08</v>
      </c>
    </row>
    <row r="479" spans="1:6" ht="15" customHeight="1" x14ac:dyDescent="0.2">
      <c r="A479" s="8" t="s">
        <v>1057</v>
      </c>
      <c r="B479" s="8" t="s">
        <v>655</v>
      </c>
      <c r="C479" s="8" t="s">
        <v>566</v>
      </c>
      <c r="D479" s="29">
        <v>2016.8</v>
      </c>
      <c r="E479" s="29">
        <v>2025.8</v>
      </c>
      <c r="F479" s="29">
        <v>9.08</v>
      </c>
    </row>
    <row r="480" spans="1:6" ht="15" customHeight="1" x14ac:dyDescent="0.2">
      <c r="A480" s="8" t="s">
        <v>1058</v>
      </c>
      <c r="B480" s="8" t="s">
        <v>980</v>
      </c>
      <c r="C480" s="8" t="s">
        <v>566</v>
      </c>
      <c r="D480" s="29">
        <v>2016.8</v>
      </c>
      <c r="E480" s="29">
        <v>2022.9</v>
      </c>
      <c r="F480" s="29">
        <v>6.17</v>
      </c>
    </row>
    <row r="481" spans="1:6" ht="15" customHeight="1" x14ac:dyDescent="0.2">
      <c r="A481" s="8" t="s">
        <v>1059</v>
      </c>
      <c r="B481" s="8" t="s">
        <v>953</v>
      </c>
      <c r="C481" s="8" t="s">
        <v>562</v>
      </c>
      <c r="D481" s="29">
        <v>2016.8</v>
      </c>
      <c r="E481" s="29">
        <v>2019.7</v>
      </c>
      <c r="F481" s="29">
        <v>2.92</v>
      </c>
    </row>
    <row r="482" spans="1:6" ht="15" customHeight="1" x14ac:dyDescent="0.2">
      <c r="A482" s="8" t="s">
        <v>1060</v>
      </c>
      <c r="B482" s="8" t="s">
        <v>787</v>
      </c>
      <c r="C482" s="8" t="s">
        <v>562</v>
      </c>
      <c r="D482" s="29">
        <v>2016.8</v>
      </c>
      <c r="E482" s="29">
        <v>2020.6</v>
      </c>
      <c r="F482" s="29">
        <v>3.83</v>
      </c>
    </row>
    <row r="483" spans="1:6" ht="15" customHeight="1" x14ac:dyDescent="0.2">
      <c r="A483" s="8" t="s">
        <v>1061</v>
      </c>
      <c r="B483" s="8" t="s">
        <v>787</v>
      </c>
      <c r="C483" s="8" t="s">
        <v>562</v>
      </c>
      <c r="D483" s="29">
        <v>2016.8</v>
      </c>
      <c r="E483" s="29">
        <v>2023.2</v>
      </c>
      <c r="F483" s="29">
        <v>6.5</v>
      </c>
    </row>
    <row r="484" spans="1:6" ht="15" customHeight="1" x14ac:dyDescent="0.2">
      <c r="A484" s="8" t="s">
        <v>1062</v>
      </c>
      <c r="B484" s="8" t="s">
        <v>787</v>
      </c>
      <c r="C484" s="8" t="s">
        <v>562</v>
      </c>
      <c r="D484" s="29">
        <v>2016.8</v>
      </c>
      <c r="E484" s="29">
        <v>2020.6</v>
      </c>
      <c r="F484" s="29">
        <v>3.83</v>
      </c>
    </row>
    <row r="485" spans="1:6" ht="15" customHeight="1" x14ac:dyDescent="0.2">
      <c r="A485" s="8" t="s">
        <v>1063</v>
      </c>
      <c r="B485" s="8" t="s">
        <v>787</v>
      </c>
      <c r="C485" s="8" t="s">
        <v>562</v>
      </c>
      <c r="D485" s="29">
        <v>2016.8</v>
      </c>
      <c r="E485" s="29">
        <v>2021.4</v>
      </c>
      <c r="F485" s="29">
        <v>4.67</v>
      </c>
    </row>
    <row r="486" spans="1:6" ht="15" customHeight="1" x14ac:dyDescent="0.2">
      <c r="A486" s="8" t="s">
        <v>1064</v>
      </c>
      <c r="B486" s="8" t="s">
        <v>787</v>
      </c>
      <c r="C486" s="8" t="s">
        <v>562</v>
      </c>
      <c r="D486" s="29">
        <v>2016.8</v>
      </c>
      <c r="E486" s="29">
        <v>2021.6</v>
      </c>
      <c r="F486" s="29">
        <v>4.83</v>
      </c>
    </row>
    <row r="487" spans="1:6" ht="15" customHeight="1" x14ac:dyDescent="0.2">
      <c r="A487" s="8" t="s">
        <v>1065</v>
      </c>
      <c r="B487" s="8" t="s">
        <v>980</v>
      </c>
      <c r="C487" s="8" t="s">
        <v>566</v>
      </c>
      <c r="D487" s="29">
        <v>2016.8</v>
      </c>
      <c r="E487" s="29">
        <v>2020.8</v>
      </c>
      <c r="F487" s="29">
        <v>4</v>
      </c>
    </row>
    <row r="488" spans="1:6" ht="15" customHeight="1" x14ac:dyDescent="0.2">
      <c r="A488" s="8" t="s">
        <v>1066</v>
      </c>
      <c r="B488" s="8" t="s">
        <v>980</v>
      </c>
      <c r="C488" s="8" t="s">
        <v>566</v>
      </c>
      <c r="D488" s="29">
        <v>2016.8</v>
      </c>
      <c r="E488" s="29">
        <v>2020.8</v>
      </c>
      <c r="F488" s="29">
        <v>4</v>
      </c>
    </row>
    <row r="489" spans="1:6" ht="15" customHeight="1" x14ac:dyDescent="0.2">
      <c r="A489" s="8" t="s">
        <v>1067</v>
      </c>
      <c r="B489" s="8" t="s">
        <v>779</v>
      </c>
      <c r="C489" s="8" t="s">
        <v>562</v>
      </c>
      <c r="D489" s="29">
        <v>2016.8</v>
      </c>
      <c r="E489" s="29">
        <v>2021.9</v>
      </c>
      <c r="F489" s="29">
        <v>5.17</v>
      </c>
    </row>
    <row r="490" spans="1:6" ht="15" customHeight="1" x14ac:dyDescent="0.2">
      <c r="A490" s="8" t="s">
        <v>1068</v>
      </c>
      <c r="B490" s="8" t="s">
        <v>787</v>
      </c>
      <c r="C490" s="8" t="s">
        <v>562</v>
      </c>
      <c r="D490" s="29">
        <v>2016.8</v>
      </c>
      <c r="E490" s="29">
        <v>2020.9</v>
      </c>
      <c r="F490" s="29">
        <v>4.17</v>
      </c>
    </row>
    <row r="491" spans="1:6" ht="15" customHeight="1" x14ac:dyDescent="0.2">
      <c r="A491" s="8" t="s">
        <v>1069</v>
      </c>
      <c r="B491" s="8" t="s">
        <v>980</v>
      </c>
      <c r="C491" s="8" t="s">
        <v>566</v>
      </c>
      <c r="D491" s="29">
        <v>2016.8</v>
      </c>
      <c r="E491" s="29">
        <v>2021.8</v>
      </c>
      <c r="F491" s="29">
        <v>5</v>
      </c>
    </row>
    <row r="492" spans="1:6" ht="15" customHeight="1" x14ac:dyDescent="0.2">
      <c r="A492" s="8" t="s">
        <v>1070</v>
      </c>
      <c r="B492" s="8" t="s">
        <v>980</v>
      </c>
      <c r="C492" s="8" t="s">
        <v>566</v>
      </c>
      <c r="D492" s="29">
        <v>2016.8</v>
      </c>
      <c r="E492" s="29">
        <v>2022.2</v>
      </c>
      <c r="F492" s="29">
        <v>5.42</v>
      </c>
    </row>
    <row r="493" spans="1:6" ht="15" customHeight="1" x14ac:dyDescent="0.2">
      <c r="A493" s="8" t="s">
        <v>1071</v>
      </c>
      <c r="B493" s="8" t="s">
        <v>808</v>
      </c>
      <c r="C493" s="8" t="s">
        <v>562</v>
      </c>
      <c r="D493" s="29">
        <v>2016.8</v>
      </c>
      <c r="E493" s="29">
        <v>2019.8</v>
      </c>
      <c r="F493" s="29">
        <v>3.08</v>
      </c>
    </row>
    <row r="494" spans="1:6" ht="15" customHeight="1" x14ac:dyDescent="0.2">
      <c r="A494" s="8" t="s">
        <v>1072</v>
      </c>
      <c r="B494" s="8" t="s">
        <v>980</v>
      </c>
      <c r="C494" s="8" t="s">
        <v>566</v>
      </c>
      <c r="D494" s="29">
        <v>2016.8</v>
      </c>
      <c r="E494" s="29">
        <v>2020.7</v>
      </c>
      <c r="F494" s="29">
        <v>3.92</v>
      </c>
    </row>
    <row r="495" spans="1:6" ht="15" customHeight="1" x14ac:dyDescent="0.2">
      <c r="A495" s="8" t="s">
        <v>1073</v>
      </c>
      <c r="B495" s="8" t="s">
        <v>980</v>
      </c>
      <c r="C495" s="8" t="s">
        <v>566</v>
      </c>
      <c r="D495" s="29">
        <v>2016.8</v>
      </c>
      <c r="E495" s="29">
        <v>2024.9</v>
      </c>
      <c r="F495" s="29">
        <v>8.08</v>
      </c>
    </row>
    <row r="496" spans="1:6" ht="15" customHeight="1" x14ac:dyDescent="0.2">
      <c r="A496" s="8" t="s">
        <v>1074</v>
      </c>
      <c r="B496" s="8" t="s">
        <v>960</v>
      </c>
      <c r="C496" s="8" t="s">
        <v>566</v>
      </c>
      <c r="D496" s="29">
        <v>2016.8</v>
      </c>
      <c r="E496" s="29">
        <v>2025</v>
      </c>
      <c r="F496" s="29">
        <v>8.17</v>
      </c>
    </row>
    <row r="497" spans="1:6" ht="15" customHeight="1" x14ac:dyDescent="0.2">
      <c r="A497" s="8" t="s">
        <v>1075</v>
      </c>
      <c r="B497" s="8" t="s">
        <v>960</v>
      </c>
      <c r="C497" s="8" t="s">
        <v>566</v>
      </c>
      <c r="D497" s="29">
        <v>2016.8</v>
      </c>
      <c r="E497" s="29">
        <v>2025</v>
      </c>
      <c r="F497" s="29">
        <v>8.17</v>
      </c>
    </row>
    <row r="498" spans="1:6" ht="15" customHeight="1" x14ac:dyDescent="0.2">
      <c r="A498" s="8" t="s">
        <v>1076</v>
      </c>
      <c r="B498" s="8" t="s">
        <v>808</v>
      </c>
      <c r="C498" s="8" t="s">
        <v>562</v>
      </c>
      <c r="D498" s="29">
        <v>2016.8</v>
      </c>
      <c r="E498" s="29">
        <v>2019.8</v>
      </c>
      <c r="F498" s="29">
        <v>3.08</v>
      </c>
    </row>
    <row r="499" spans="1:6" ht="15" customHeight="1" x14ac:dyDescent="0.2">
      <c r="A499" s="8" t="s">
        <v>1077</v>
      </c>
      <c r="B499" s="8" t="s">
        <v>960</v>
      </c>
      <c r="C499" s="8" t="s">
        <v>560</v>
      </c>
      <c r="D499" s="29">
        <v>2016.8</v>
      </c>
      <c r="E499" s="29">
        <v>2020.2</v>
      </c>
      <c r="F499" s="29">
        <v>3.42</v>
      </c>
    </row>
    <row r="500" spans="1:6" ht="15" customHeight="1" x14ac:dyDescent="0.2">
      <c r="A500" s="8" t="s">
        <v>1078</v>
      </c>
      <c r="B500" s="8" t="s">
        <v>808</v>
      </c>
      <c r="C500" s="8" t="s">
        <v>566</v>
      </c>
      <c r="D500" s="29">
        <v>2016.8</v>
      </c>
      <c r="E500" s="29">
        <v>2021.7</v>
      </c>
      <c r="F500" s="29">
        <v>4.92</v>
      </c>
    </row>
    <row r="501" spans="1:6" ht="15" customHeight="1" x14ac:dyDescent="0.2">
      <c r="A501" s="8" t="s">
        <v>1079</v>
      </c>
      <c r="B501" s="8" t="s">
        <v>808</v>
      </c>
      <c r="C501" s="8" t="s">
        <v>566</v>
      </c>
      <c r="D501" s="29">
        <v>2016.8</v>
      </c>
      <c r="E501" s="29">
        <v>2021.7</v>
      </c>
      <c r="F501" s="29">
        <v>4.92</v>
      </c>
    </row>
    <row r="502" spans="1:6" ht="15" customHeight="1" x14ac:dyDescent="0.2">
      <c r="A502" s="8" t="s">
        <v>1080</v>
      </c>
      <c r="B502" s="8" t="s">
        <v>960</v>
      </c>
      <c r="C502" s="8" t="s">
        <v>796</v>
      </c>
      <c r="D502" s="29">
        <v>2016.8</v>
      </c>
      <c r="E502" s="29">
        <v>2019</v>
      </c>
      <c r="F502" s="29">
        <v>2.25</v>
      </c>
    </row>
    <row r="503" spans="1:6" ht="15" customHeight="1" x14ac:dyDescent="0.2">
      <c r="A503" s="8" t="s">
        <v>1081</v>
      </c>
      <c r="B503" s="8" t="s">
        <v>787</v>
      </c>
      <c r="C503" s="8" t="s">
        <v>562</v>
      </c>
      <c r="D503" s="29">
        <v>2016.8</v>
      </c>
      <c r="E503" s="29">
        <v>2022.3</v>
      </c>
      <c r="F503" s="29">
        <v>5.58</v>
      </c>
    </row>
    <row r="504" spans="1:6" ht="15" customHeight="1" x14ac:dyDescent="0.2">
      <c r="A504" s="8" t="s">
        <v>1082</v>
      </c>
      <c r="B504" s="8" t="s">
        <v>932</v>
      </c>
      <c r="C504" s="8" t="s">
        <v>566</v>
      </c>
      <c r="D504" s="29">
        <v>2016.8</v>
      </c>
      <c r="E504" s="29">
        <v>2020.4</v>
      </c>
      <c r="F504" s="29">
        <v>3.67</v>
      </c>
    </row>
    <row r="505" spans="1:6" ht="15" customHeight="1" x14ac:dyDescent="0.2">
      <c r="A505" s="8" t="s">
        <v>1083</v>
      </c>
      <c r="B505" s="8" t="s">
        <v>787</v>
      </c>
      <c r="C505" s="8" t="s">
        <v>560</v>
      </c>
      <c r="D505" s="29">
        <v>2016.8</v>
      </c>
      <c r="E505" s="29">
        <v>2020.8</v>
      </c>
      <c r="F505" s="29">
        <v>4.08</v>
      </c>
    </row>
    <row r="506" spans="1:6" ht="15" customHeight="1" x14ac:dyDescent="0.2">
      <c r="A506" s="8" t="s">
        <v>1084</v>
      </c>
      <c r="B506" s="8" t="s">
        <v>980</v>
      </c>
      <c r="C506" s="8" t="s">
        <v>566</v>
      </c>
      <c r="D506" s="29">
        <v>2016.8</v>
      </c>
      <c r="E506" s="29">
        <v>2020.8</v>
      </c>
      <c r="F506" s="29">
        <v>4</v>
      </c>
    </row>
    <row r="507" spans="1:6" ht="15" customHeight="1" x14ac:dyDescent="0.2">
      <c r="A507" s="8" t="s">
        <v>1085</v>
      </c>
      <c r="B507" s="8" t="s">
        <v>980</v>
      </c>
      <c r="C507" s="8" t="s">
        <v>566</v>
      </c>
      <c r="D507" s="29">
        <v>2016.8</v>
      </c>
      <c r="E507" s="29">
        <v>2025</v>
      </c>
      <c r="F507" s="29">
        <v>8.17</v>
      </c>
    </row>
    <row r="508" spans="1:6" ht="15" customHeight="1" x14ac:dyDescent="0.2">
      <c r="A508" s="8" t="s">
        <v>1086</v>
      </c>
      <c r="B508" s="8" t="s">
        <v>980</v>
      </c>
      <c r="C508" s="8" t="s">
        <v>566</v>
      </c>
      <c r="D508" s="29">
        <v>2016.8</v>
      </c>
      <c r="E508" s="29">
        <v>2024.1</v>
      </c>
      <c r="F508" s="29">
        <v>7.25</v>
      </c>
    </row>
    <row r="509" spans="1:6" ht="15" customHeight="1" x14ac:dyDescent="0.2">
      <c r="A509" s="8" t="s">
        <v>1087</v>
      </c>
      <c r="B509" s="8" t="s">
        <v>980</v>
      </c>
      <c r="C509" s="8" t="s">
        <v>566</v>
      </c>
      <c r="D509" s="29">
        <v>2016.9</v>
      </c>
      <c r="E509" s="29">
        <v>2023.9</v>
      </c>
      <c r="F509" s="29">
        <v>7</v>
      </c>
    </row>
    <row r="510" spans="1:6" ht="15" customHeight="1" x14ac:dyDescent="0.2">
      <c r="A510" s="8" t="s">
        <v>1088</v>
      </c>
      <c r="B510" s="8" t="s">
        <v>960</v>
      </c>
      <c r="C510" s="8" t="s">
        <v>562</v>
      </c>
      <c r="D510" s="29">
        <v>2017</v>
      </c>
      <c r="E510" s="29">
        <v>2020.1</v>
      </c>
      <c r="F510" s="29">
        <v>3.08</v>
      </c>
    </row>
    <row r="511" spans="1:6" ht="15" customHeight="1" x14ac:dyDescent="0.2">
      <c r="A511" s="8" t="s">
        <v>1089</v>
      </c>
      <c r="B511" s="8" t="s">
        <v>958</v>
      </c>
      <c r="C511" s="8" t="s">
        <v>657</v>
      </c>
      <c r="D511" s="29">
        <v>2017</v>
      </c>
      <c r="E511" s="29">
        <v>2023.1</v>
      </c>
      <c r="F511" s="29">
        <v>6.08</v>
      </c>
    </row>
    <row r="512" spans="1:6" ht="15" customHeight="1" x14ac:dyDescent="0.2">
      <c r="A512" s="8" t="s">
        <v>1090</v>
      </c>
      <c r="B512" s="8" t="s">
        <v>960</v>
      </c>
      <c r="C512" s="8" t="s">
        <v>566</v>
      </c>
      <c r="D512" s="29">
        <v>2017.1</v>
      </c>
      <c r="E512" s="29">
        <v>2022.9</v>
      </c>
      <c r="F512" s="29">
        <v>5.83</v>
      </c>
    </row>
    <row r="513" spans="1:6" ht="15" customHeight="1" x14ac:dyDescent="0.2">
      <c r="A513" s="8" t="s">
        <v>1091</v>
      </c>
      <c r="B513" s="8" t="s">
        <v>960</v>
      </c>
      <c r="C513" s="8" t="s">
        <v>566</v>
      </c>
      <c r="D513" s="29">
        <v>2017.1</v>
      </c>
      <c r="E513" s="29">
        <v>2025.1</v>
      </c>
      <c r="F513" s="29">
        <v>8</v>
      </c>
    </row>
    <row r="514" spans="1:6" ht="15" customHeight="1" x14ac:dyDescent="0.2">
      <c r="A514" s="8" t="s">
        <v>1092</v>
      </c>
      <c r="B514" s="8" t="s">
        <v>960</v>
      </c>
      <c r="C514" s="8" t="s">
        <v>566</v>
      </c>
      <c r="D514" s="29">
        <v>2017.1</v>
      </c>
      <c r="E514" s="29">
        <v>2025.4</v>
      </c>
      <c r="F514" s="29">
        <v>8.33</v>
      </c>
    </row>
    <row r="515" spans="1:6" ht="15" customHeight="1" x14ac:dyDescent="0.2">
      <c r="A515" s="8" t="s">
        <v>1093</v>
      </c>
      <c r="B515" s="8" t="s">
        <v>960</v>
      </c>
      <c r="C515" s="8" t="s">
        <v>566</v>
      </c>
      <c r="D515" s="29">
        <v>2017.1</v>
      </c>
      <c r="E515" s="29">
        <v>2020.9</v>
      </c>
      <c r="F515" s="29">
        <v>3.83</v>
      </c>
    </row>
    <row r="516" spans="1:6" ht="15" customHeight="1" x14ac:dyDescent="0.2">
      <c r="A516" s="8" t="s">
        <v>1094</v>
      </c>
      <c r="B516" s="8" t="s">
        <v>1047</v>
      </c>
      <c r="C516" s="8" t="s">
        <v>566</v>
      </c>
      <c r="D516" s="29">
        <v>2017.1</v>
      </c>
      <c r="E516" s="29">
        <v>2025.7</v>
      </c>
      <c r="F516" s="29">
        <v>8.58</v>
      </c>
    </row>
    <row r="517" spans="1:6" ht="15" customHeight="1" x14ac:dyDescent="0.2">
      <c r="A517" s="8" t="s">
        <v>1095</v>
      </c>
      <c r="B517" s="8" t="s">
        <v>655</v>
      </c>
      <c r="C517" s="8" t="s">
        <v>566</v>
      </c>
      <c r="D517" s="29">
        <v>2017.2</v>
      </c>
      <c r="E517" s="29">
        <v>2025.8</v>
      </c>
      <c r="F517" s="29">
        <v>8.67</v>
      </c>
    </row>
    <row r="518" spans="1:6" ht="15" customHeight="1" x14ac:dyDescent="0.2">
      <c r="A518" s="8" t="s">
        <v>1096</v>
      </c>
      <c r="B518" s="8" t="s">
        <v>960</v>
      </c>
      <c r="C518" s="8" t="s">
        <v>566</v>
      </c>
      <c r="D518" s="29">
        <v>2017.2</v>
      </c>
      <c r="E518" s="29">
        <v>2023.9</v>
      </c>
      <c r="F518" s="29">
        <v>6.75</v>
      </c>
    </row>
    <row r="519" spans="1:6" ht="15" customHeight="1" x14ac:dyDescent="0.2">
      <c r="A519" s="8" t="s">
        <v>1097</v>
      </c>
      <c r="B519" s="8" t="s">
        <v>808</v>
      </c>
      <c r="C519" s="8" t="s">
        <v>566</v>
      </c>
      <c r="D519" s="29">
        <v>2017.2</v>
      </c>
      <c r="E519" s="29">
        <v>2024.9</v>
      </c>
      <c r="F519" s="29">
        <v>7.75</v>
      </c>
    </row>
    <row r="520" spans="1:6" ht="15" customHeight="1" x14ac:dyDescent="0.2">
      <c r="A520" s="8" t="s">
        <v>1098</v>
      </c>
      <c r="B520" s="8" t="s">
        <v>953</v>
      </c>
      <c r="C520" s="8" t="s">
        <v>562</v>
      </c>
      <c r="D520" s="29">
        <v>2017.2</v>
      </c>
      <c r="E520" s="29">
        <v>2023</v>
      </c>
      <c r="F520" s="29">
        <v>5.83</v>
      </c>
    </row>
    <row r="521" spans="1:6" ht="15" customHeight="1" x14ac:dyDescent="0.2">
      <c r="A521" s="8" t="s">
        <v>1099</v>
      </c>
      <c r="B521" s="8" t="s">
        <v>980</v>
      </c>
      <c r="C521" s="8" t="s">
        <v>566</v>
      </c>
      <c r="D521" s="29">
        <v>2017.2</v>
      </c>
      <c r="E521" s="29">
        <v>2023.6</v>
      </c>
      <c r="F521" s="29">
        <v>6.42</v>
      </c>
    </row>
    <row r="522" spans="1:6" ht="15" customHeight="1" x14ac:dyDescent="0.2">
      <c r="A522" s="8" t="s">
        <v>1100</v>
      </c>
      <c r="B522" s="8" t="s">
        <v>787</v>
      </c>
      <c r="C522" s="8" t="s">
        <v>562</v>
      </c>
      <c r="D522" s="29">
        <v>2017.2</v>
      </c>
      <c r="E522" s="29">
        <v>2021.6</v>
      </c>
      <c r="F522" s="29">
        <v>4.42</v>
      </c>
    </row>
    <row r="523" spans="1:6" ht="15" customHeight="1" x14ac:dyDescent="0.2">
      <c r="A523" s="8" t="s">
        <v>1101</v>
      </c>
      <c r="B523" s="8" t="s">
        <v>787</v>
      </c>
      <c r="C523" s="8" t="s">
        <v>562</v>
      </c>
      <c r="D523" s="29">
        <v>2017.2</v>
      </c>
      <c r="E523" s="29">
        <v>2021.6</v>
      </c>
      <c r="F523" s="29">
        <v>4.42</v>
      </c>
    </row>
    <row r="524" spans="1:6" ht="15" customHeight="1" x14ac:dyDescent="0.2">
      <c r="A524" s="8" t="s">
        <v>1102</v>
      </c>
      <c r="B524" s="8" t="s">
        <v>787</v>
      </c>
      <c r="C524" s="8" t="s">
        <v>562</v>
      </c>
      <c r="D524" s="29">
        <v>2017.2</v>
      </c>
      <c r="E524" s="29">
        <v>2023.8</v>
      </c>
      <c r="F524" s="29">
        <v>6.67</v>
      </c>
    </row>
    <row r="525" spans="1:6" ht="15" customHeight="1" x14ac:dyDescent="0.2">
      <c r="A525" s="8" t="s">
        <v>1103</v>
      </c>
      <c r="B525" s="8" t="s">
        <v>958</v>
      </c>
      <c r="C525" s="8" t="s">
        <v>566</v>
      </c>
      <c r="D525" s="29">
        <v>2017.2</v>
      </c>
      <c r="E525" s="29">
        <v>2023.4</v>
      </c>
      <c r="F525" s="29">
        <v>6.25</v>
      </c>
    </row>
    <row r="526" spans="1:6" ht="15" customHeight="1" x14ac:dyDescent="0.2">
      <c r="A526" s="8" t="s">
        <v>1104</v>
      </c>
      <c r="B526" s="8" t="s">
        <v>980</v>
      </c>
      <c r="C526" s="8" t="s">
        <v>566</v>
      </c>
      <c r="D526" s="29">
        <v>2017.2</v>
      </c>
      <c r="E526" s="29">
        <v>2025.2</v>
      </c>
      <c r="F526" s="29">
        <v>8.08</v>
      </c>
    </row>
    <row r="527" spans="1:6" ht="15" customHeight="1" x14ac:dyDescent="0.2">
      <c r="A527" s="8" t="s">
        <v>1105</v>
      </c>
      <c r="B527" s="8" t="s">
        <v>980</v>
      </c>
      <c r="C527" s="8" t="s">
        <v>562</v>
      </c>
      <c r="D527" s="29">
        <v>2017.2</v>
      </c>
      <c r="E527" s="29">
        <v>2019.3</v>
      </c>
      <c r="F527" s="29">
        <v>2.17</v>
      </c>
    </row>
    <row r="528" spans="1:6" ht="15" customHeight="1" x14ac:dyDescent="0.2">
      <c r="A528" s="8" t="s">
        <v>1106</v>
      </c>
      <c r="B528" s="8" t="s">
        <v>980</v>
      </c>
      <c r="C528" s="8" t="s">
        <v>562</v>
      </c>
      <c r="D528" s="29">
        <v>2017.2</v>
      </c>
      <c r="E528" s="29">
        <v>2019.3</v>
      </c>
      <c r="F528" s="29">
        <v>2.17</v>
      </c>
    </row>
    <row r="529" spans="1:6" ht="15" customHeight="1" x14ac:dyDescent="0.2">
      <c r="A529" s="8" t="s">
        <v>1107</v>
      </c>
      <c r="B529" s="8" t="s">
        <v>980</v>
      </c>
      <c r="C529" s="8" t="s">
        <v>566</v>
      </c>
      <c r="D529" s="29">
        <v>2017.2</v>
      </c>
      <c r="E529" s="29">
        <v>2020.9</v>
      </c>
      <c r="F529" s="29">
        <v>3.75</v>
      </c>
    </row>
    <row r="530" spans="1:6" ht="15" customHeight="1" x14ac:dyDescent="0.2">
      <c r="A530" s="8" t="s">
        <v>1108</v>
      </c>
      <c r="B530" s="8" t="s">
        <v>980</v>
      </c>
      <c r="C530" s="8" t="s">
        <v>566</v>
      </c>
      <c r="D530" s="29">
        <v>2017.2</v>
      </c>
      <c r="E530" s="29">
        <v>2020.9</v>
      </c>
      <c r="F530" s="29">
        <v>3.75</v>
      </c>
    </row>
    <row r="531" spans="1:6" ht="15" customHeight="1" x14ac:dyDescent="0.2">
      <c r="A531" s="8" t="s">
        <v>1109</v>
      </c>
      <c r="B531" s="8" t="s">
        <v>953</v>
      </c>
      <c r="C531" s="8" t="s">
        <v>562</v>
      </c>
      <c r="D531" s="29">
        <v>2017.2</v>
      </c>
      <c r="E531" s="29">
        <v>2021.2</v>
      </c>
      <c r="F531" s="29">
        <v>4.08</v>
      </c>
    </row>
    <row r="532" spans="1:6" ht="15" customHeight="1" x14ac:dyDescent="0.2">
      <c r="A532" s="8" t="s">
        <v>1110</v>
      </c>
      <c r="B532" s="8" t="s">
        <v>953</v>
      </c>
      <c r="C532" s="8" t="s">
        <v>566</v>
      </c>
      <c r="D532" s="29">
        <v>2017.2</v>
      </c>
      <c r="E532" s="29">
        <v>2023.4</v>
      </c>
      <c r="F532" s="29">
        <v>6.25</v>
      </c>
    </row>
    <row r="533" spans="1:6" ht="15" customHeight="1" x14ac:dyDescent="0.2">
      <c r="A533" s="8" t="s">
        <v>1111</v>
      </c>
      <c r="B533" s="8" t="s">
        <v>932</v>
      </c>
      <c r="C533" s="8" t="s">
        <v>566</v>
      </c>
      <c r="D533" s="29">
        <v>2017.2</v>
      </c>
      <c r="E533" s="29">
        <v>2021.8</v>
      </c>
      <c r="F533" s="29">
        <v>4.67</v>
      </c>
    </row>
    <row r="534" spans="1:6" ht="15" customHeight="1" x14ac:dyDescent="0.2">
      <c r="A534" s="8" t="s">
        <v>1112</v>
      </c>
      <c r="B534" s="8" t="s">
        <v>808</v>
      </c>
      <c r="C534" s="8" t="s">
        <v>560</v>
      </c>
      <c r="D534" s="29">
        <v>2017.2</v>
      </c>
      <c r="E534" s="29">
        <v>2020.7</v>
      </c>
      <c r="F534" s="29">
        <v>3.5</v>
      </c>
    </row>
    <row r="535" spans="1:6" ht="15" customHeight="1" x14ac:dyDescent="0.2">
      <c r="A535" s="8" t="s">
        <v>1113</v>
      </c>
      <c r="B535" s="8" t="s">
        <v>980</v>
      </c>
      <c r="C535" s="8" t="s">
        <v>566</v>
      </c>
      <c r="D535" s="29">
        <v>2017.3</v>
      </c>
      <c r="E535" s="29">
        <v>2022.7</v>
      </c>
      <c r="F535" s="29">
        <v>5.33</v>
      </c>
    </row>
    <row r="536" spans="1:6" ht="15" customHeight="1" x14ac:dyDescent="0.2">
      <c r="A536" s="8" t="s">
        <v>1114</v>
      </c>
      <c r="B536" s="8" t="s">
        <v>953</v>
      </c>
      <c r="C536" s="8" t="s">
        <v>566</v>
      </c>
      <c r="D536" s="29">
        <v>2017.4</v>
      </c>
      <c r="E536" s="29">
        <v>2024.2</v>
      </c>
      <c r="F536" s="29">
        <v>6.75</v>
      </c>
    </row>
    <row r="537" spans="1:6" ht="15" customHeight="1" x14ac:dyDescent="0.2">
      <c r="A537" s="8" t="s">
        <v>1115</v>
      </c>
      <c r="B537" s="8" t="s">
        <v>980</v>
      </c>
      <c r="C537" s="8" t="s">
        <v>566</v>
      </c>
      <c r="D537" s="29">
        <v>2017.5</v>
      </c>
      <c r="E537" s="29">
        <v>2021.8</v>
      </c>
      <c r="F537" s="29">
        <v>4.33</v>
      </c>
    </row>
    <row r="538" spans="1:6" ht="15" customHeight="1" x14ac:dyDescent="0.2">
      <c r="A538" s="8" t="s">
        <v>1116</v>
      </c>
      <c r="B538" s="8" t="s">
        <v>953</v>
      </c>
      <c r="C538" s="8" t="s">
        <v>562</v>
      </c>
      <c r="D538" s="29">
        <v>2017.5</v>
      </c>
      <c r="E538" s="29">
        <v>2019.5</v>
      </c>
      <c r="F538" s="29">
        <v>2</v>
      </c>
    </row>
    <row r="539" spans="1:6" ht="15" customHeight="1" x14ac:dyDescent="0.2">
      <c r="A539" s="8" t="s">
        <v>1117</v>
      </c>
      <c r="B539" s="8" t="s">
        <v>980</v>
      </c>
      <c r="C539" s="8" t="s">
        <v>566</v>
      </c>
      <c r="D539" s="29">
        <v>2017.6</v>
      </c>
      <c r="E539" s="29">
        <v>2024.6</v>
      </c>
      <c r="F539" s="29">
        <v>7</v>
      </c>
    </row>
    <row r="540" spans="1:6" ht="15" customHeight="1" x14ac:dyDescent="0.2">
      <c r="A540" s="8" t="s">
        <v>1118</v>
      </c>
      <c r="B540" s="8" t="s">
        <v>960</v>
      </c>
      <c r="C540" s="8" t="s">
        <v>562</v>
      </c>
      <c r="D540" s="29">
        <v>2017.6</v>
      </c>
      <c r="E540" s="29">
        <v>2021.1</v>
      </c>
      <c r="F540" s="29">
        <v>3.5</v>
      </c>
    </row>
    <row r="541" spans="1:6" ht="15" customHeight="1" x14ac:dyDescent="0.2">
      <c r="A541" s="8" t="s">
        <v>1119</v>
      </c>
      <c r="B541" s="8" t="s">
        <v>932</v>
      </c>
      <c r="C541" s="8" t="s">
        <v>566</v>
      </c>
      <c r="D541" s="29">
        <v>2017.6</v>
      </c>
      <c r="E541" s="29">
        <v>2019.9</v>
      </c>
      <c r="F541" s="29">
        <v>2.33</v>
      </c>
    </row>
    <row r="542" spans="1:6" ht="15" customHeight="1" x14ac:dyDescent="0.2">
      <c r="A542" s="8" t="s">
        <v>1120</v>
      </c>
      <c r="B542" s="8" t="s">
        <v>980</v>
      </c>
      <c r="C542" s="8" t="s">
        <v>566</v>
      </c>
      <c r="D542" s="29">
        <v>2017.6</v>
      </c>
      <c r="E542" s="29">
        <v>2024.1</v>
      </c>
      <c r="F542" s="29">
        <v>6.5</v>
      </c>
    </row>
    <row r="543" spans="1:6" ht="15" customHeight="1" x14ac:dyDescent="0.2">
      <c r="A543" s="8" t="s">
        <v>1121</v>
      </c>
      <c r="B543" s="8" t="s">
        <v>980</v>
      </c>
      <c r="C543" s="8" t="s">
        <v>566</v>
      </c>
      <c r="D543" s="29">
        <v>2017.6</v>
      </c>
      <c r="E543" s="29">
        <v>2025</v>
      </c>
      <c r="F543" s="29">
        <v>7.42</v>
      </c>
    </row>
    <row r="544" spans="1:6" ht="15" customHeight="1" x14ac:dyDescent="0.2">
      <c r="A544" s="8" t="s">
        <v>1122</v>
      </c>
      <c r="B544" s="8" t="s">
        <v>953</v>
      </c>
      <c r="C544" s="8" t="s">
        <v>566</v>
      </c>
      <c r="D544" s="29">
        <v>2017.6</v>
      </c>
      <c r="E544" s="29">
        <v>2020.9</v>
      </c>
      <c r="F544" s="29">
        <v>3.33</v>
      </c>
    </row>
    <row r="545" spans="1:6" ht="15" customHeight="1" x14ac:dyDescent="0.2">
      <c r="A545" s="8" t="s">
        <v>1123</v>
      </c>
      <c r="B545" s="8" t="s">
        <v>953</v>
      </c>
      <c r="C545" s="8" t="s">
        <v>566</v>
      </c>
      <c r="D545" s="29">
        <v>2017.6</v>
      </c>
      <c r="E545" s="29">
        <v>2022.3</v>
      </c>
      <c r="F545" s="29">
        <v>4.75</v>
      </c>
    </row>
    <row r="546" spans="1:6" ht="15" customHeight="1" x14ac:dyDescent="0.2">
      <c r="A546" s="8" t="s">
        <v>1124</v>
      </c>
      <c r="B546" s="8" t="s">
        <v>787</v>
      </c>
      <c r="C546" s="8" t="s">
        <v>560</v>
      </c>
      <c r="D546" s="29">
        <v>2017.6</v>
      </c>
      <c r="E546" s="29">
        <v>2020.8</v>
      </c>
      <c r="F546" s="29">
        <v>3.17</v>
      </c>
    </row>
    <row r="547" spans="1:6" ht="15" customHeight="1" x14ac:dyDescent="0.2">
      <c r="A547" s="8" t="s">
        <v>1125</v>
      </c>
      <c r="B547" s="8" t="s">
        <v>960</v>
      </c>
      <c r="C547" s="8" t="s">
        <v>566</v>
      </c>
      <c r="D547" s="29">
        <v>2017.6</v>
      </c>
      <c r="E547" s="29">
        <v>2022.9</v>
      </c>
      <c r="F547" s="29">
        <v>5.33</v>
      </c>
    </row>
    <row r="548" spans="1:6" ht="15" customHeight="1" x14ac:dyDescent="0.2">
      <c r="A548" s="8" t="s">
        <v>1126</v>
      </c>
      <c r="B548" s="8" t="s">
        <v>960</v>
      </c>
      <c r="C548" s="8" t="s">
        <v>566</v>
      </c>
      <c r="D548" s="29">
        <v>2017.7</v>
      </c>
      <c r="E548" s="29">
        <v>2025.1</v>
      </c>
      <c r="F548" s="29">
        <v>7.42</v>
      </c>
    </row>
    <row r="549" spans="1:6" ht="15" customHeight="1" x14ac:dyDescent="0.2">
      <c r="A549" s="8" t="s">
        <v>1127</v>
      </c>
      <c r="B549" s="8" t="s">
        <v>960</v>
      </c>
      <c r="C549" s="8" t="s">
        <v>566</v>
      </c>
      <c r="D549" s="29">
        <v>2017.7</v>
      </c>
      <c r="E549" s="29">
        <v>2023.5</v>
      </c>
      <c r="F549" s="29">
        <v>5.83</v>
      </c>
    </row>
    <row r="550" spans="1:6" ht="15" customHeight="1" x14ac:dyDescent="0.2">
      <c r="A550" s="8" t="s">
        <v>1128</v>
      </c>
      <c r="B550" s="8" t="s">
        <v>980</v>
      </c>
      <c r="C550" s="8" t="s">
        <v>566</v>
      </c>
      <c r="D550" s="29">
        <v>2017.7</v>
      </c>
      <c r="E550" s="29">
        <v>2024.2</v>
      </c>
      <c r="F550" s="29">
        <v>6.5</v>
      </c>
    </row>
    <row r="551" spans="1:6" ht="15" customHeight="1" x14ac:dyDescent="0.2">
      <c r="A551" s="8" t="s">
        <v>1129</v>
      </c>
      <c r="B551" s="8" t="s">
        <v>980</v>
      </c>
      <c r="C551" s="8" t="s">
        <v>566</v>
      </c>
      <c r="D551" s="29">
        <v>2017.7</v>
      </c>
      <c r="E551" s="29">
        <v>2024.2</v>
      </c>
      <c r="F551" s="29">
        <v>6.58</v>
      </c>
    </row>
    <row r="552" spans="1:6" ht="15" customHeight="1" x14ac:dyDescent="0.2">
      <c r="A552" s="8" t="s">
        <v>1130</v>
      </c>
      <c r="B552" s="8" t="s">
        <v>953</v>
      </c>
      <c r="C552" s="8" t="s">
        <v>562</v>
      </c>
      <c r="D552" s="29">
        <v>2017.7</v>
      </c>
      <c r="E552" s="29">
        <v>2020.4</v>
      </c>
      <c r="F552" s="29">
        <v>2.75</v>
      </c>
    </row>
    <row r="553" spans="1:6" ht="15" customHeight="1" x14ac:dyDescent="0.2">
      <c r="A553" s="8" t="s">
        <v>1131</v>
      </c>
      <c r="B553" s="8" t="s">
        <v>960</v>
      </c>
      <c r="C553" s="8" t="s">
        <v>566</v>
      </c>
      <c r="D553" s="29">
        <v>2017.7</v>
      </c>
      <c r="E553" s="29">
        <v>2023.8</v>
      </c>
      <c r="F553" s="29">
        <v>6.17</v>
      </c>
    </row>
    <row r="554" spans="1:6" ht="15" customHeight="1" x14ac:dyDescent="0.2">
      <c r="A554" s="8" t="s">
        <v>1132</v>
      </c>
      <c r="B554" s="8" t="s">
        <v>958</v>
      </c>
      <c r="C554" s="8" t="s">
        <v>562</v>
      </c>
      <c r="D554" s="29">
        <v>2017.7</v>
      </c>
      <c r="E554" s="29">
        <v>2019.2</v>
      </c>
      <c r="F554" s="29">
        <v>1.5</v>
      </c>
    </row>
    <row r="555" spans="1:6" ht="15" customHeight="1" x14ac:dyDescent="0.2">
      <c r="A555" s="8" t="s">
        <v>1133</v>
      </c>
      <c r="B555" s="8" t="s">
        <v>960</v>
      </c>
      <c r="C555" s="8" t="s">
        <v>562</v>
      </c>
      <c r="D555" s="29">
        <v>2017.7</v>
      </c>
      <c r="E555" s="29">
        <v>2022.6</v>
      </c>
      <c r="F555" s="29">
        <v>4.92</v>
      </c>
    </row>
    <row r="556" spans="1:6" ht="15" customHeight="1" x14ac:dyDescent="0.2">
      <c r="A556" s="8" t="s">
        <v>1134</v>
      </c>
      <c r="B556" s="8" t="s">
        <v>960</v>
      </c>
      <c r="C556" s="8" t="s">
        <v>566</v>
      </c>
      <c r="D556" s="29">
        <v>2017.7</v>
      </c>
      <c r="E556" s="29">
        <v>2024.7</v>
      </c>
      <c r="F556" s="29">
        <v>7</v>
      </c>
    </row>
    <row r="557" spans="1:6" ht="15" customHeight="1" x14ac:dyDescent="0.2">
      <c r="A557" s="8" t="s">
        <v>1135</v>
      </c>
      <c r="B557" s="8" t="s">
        <v>960</v>
      </c>
      <c r="C557" s="8" t="s">
        <v>566</v>
      </c>
      <c r="D557" s="29">
        <v>2017.8</v>
      </c>
      <c r="E557" s="29">
        <v>2024.9</v>
      </c>
      <c r="F557" s="29">
        <v>7.17</v>
      </c>
    </row>
    <row r="558" spans="1:6" ht="15" customHeight="1" x14ac:dyDescent="0.2">
      <c r="A558" s="8" t="s">
        <v>1136</v>
      </c>
      <c r="B558" s="8" t="s">
        <v>980</v>
      </c>
      <c r="C558" s="8" t="s">
        <v>566</v>
      </c>
      <c r="D558" s="29">
        <v>2017.7</v>
      </c>
      <c r="E558" s="29">
        <v>2023.6</v>
      </c>
      <c r="F558" s="29">
        <v>5.92</v>
      </c>
    </row>
    <row r="559" spans="1:6" ht="15" customHeight="1" x14ac:dyDescent="0.2">
      <c r="A559" s="8" t="s">
        <v>1137</v>
      </c>
      <c r="B559" s="8" t="s">
        <v>953</v>
      </c>
      <c r="C559" s="8" t="s">
        <v>566</v>
      </c>
      <c r="D559" s="29">
        <v>2017.7</v>
      </c>
      <c r="E559" s="29">
        <v>2023.4</v>
      </c>
      <c r="F559" s="29">
        <v>5.75</v>
      </c>
    </row>
    <row r="560" spans="1:6" ht="15" customHeight="1" x14ac:dyDescent="0.2">
      <c r="A560" s="8" t="s">
        <v>1138</v>
      </c>
      <c r="B560" s="8" t="s">
        <v>960</v>
      </c>
      <c r="C560" s="8" t="s">
        <v>566</v>
      </c>
      <c r="D560" s="29">
        <v>2017.7</v>
      </c>
      <c r="E560" s="29">
        <v>2023.9</v>
      </c>
      <c r="F560" s="29">
        <v>6.25</v>
      </c>
    </row>
    <row r="561" spans="1:6" ht="15" customHeight="1" x14ac:dyDescent="0.2">
      <c r="A561" s="8" t="s">
        <v>1139</v>
      </c>
      <c r="B561" s="8" t="s">
        <v>980</v>
      </c>
      <c r="C561" s="8" t="s">
        <v>566</v>
      </c>
      <c r="D561" s="29">
        <v>2017.7</v>
      </c>
      <c r="E561" s="29">
        <v>2020.4</v>
      </c>
      <c r="F561" s="29">
        <v>2.75</v>
      </c>
    </row>
    <row r="562" spans="1:6" ht="15" customHeight="1" x14ac:dyDescent="0.2">
      <c r="A562" s="8" t="s">
        <v>1140</v>
      </c>
      <c r="B562" s="8" t="s">
        <v>980</v>
      </c>
      <c r="C562" s="8" t="s">
        <v>566</v>
      </c>
      <c r="D562" s="29">
        <v>2017.8</v>
      </c>
      <c r="E562" s="29">
        <v>2023.6</v>
      </c>
      <c r="F562" s="29">
        <v>5.83</v>
      </c>
    </row>
    <row r="563" spans="1:6" ht="15" customHeight="1" x14ac:dyDescent="0.2">
      <c r="A563" s="8" t="s">
        <v>1141</v>
      </c>
      <c r="B563" s="8" t="s">
        <v>980</v>
      </c>
      <c r="C563" s="8" t="s">
        <v>566</v>
      </c>
      <c r="D563" s="29">
        <v>2017.8</v>
      </c>
      <c r="E563" s="29">
        <v>2024.8</v>
      </c>
      <c r="F563" s="29">
        <v>7</v>
      </c>
    </row>
    <row r="564" spans="1:6" ht="15" customHeight="1" x14ac:dyDescent="0.2">
      <c r="A564" s="8" t="s">
        <v>1142</v>
      </c>
      <c r="B564" s="8" t="s">
        <v>996</v>
      </c>
      <c r="C564" s="8" t="s">
        <v>562</v>
      </c>
      <c r="D564" s="29">
        <v>2017.8</v>
      </c>
      <c r="E564" s="29">
        <v>2020.8</v>
      </c>
      <c r="F564" s="29">
        <v>3</v>
      </c>
    </row>
    <row r="565" spans="1:6" ht="15" customHeight="1" x14ac:dyDescent="0.2">
      <c r="A565" s="8" t="s">
        <v>1143</v>
      </c>
      <c r="B565" s="8" t="s">
        <v>953</v>
      </c>
      <c r="C565" s="8" t="s">
        <v>566</v>
      </c>
      <c r="D565" s="29">
        <v>2017.8</v>
      </c>
      <c r="E565" s="29">
        <v>2024.2</v>
      </c>
      <c r="F565" s="29">
        <v>6.42</v>
      </c>
    </row>
    <row r="566" spans="1:6" ht="15" customHeight="1" x14ac:dyDescent="0.2">
      <c r="A566" s="8" t="s">
        <v>1144</v>
      </c>
      <c r="B566" s="8" t="s">
        <v>960</v>
      </c>
      <c r="C566" s="8" t="s">
        <v>566</v>
      </c>
      <c r="D566" s="29">
        <v>2017.8</v>
      </c>
      <c r="E566" s="29">
        <v>2022.9</v>
      </c>
      <c r="F566" s="29">
        <v>5.08</v>
      </c>
    </row>
    <row r="567" spans="1:6" ht="15" customHeight="1" x14ac:dyDescent="0.2">
      <c r="A567" s="8" t="s">
        <v>1145</v>
      </c>
      <c r="B567" s="8" t="s">
        <v>980</v>
      </c>
      <c r="C567" s="8" t="s">
        <v>566</v>
      </c>
      <c r="D567" s="29">
        <v>2017.8</v>
      </c>
      <c r="E567" s="29">
        <v>2020.9</v>
      </c>
      <c r="F567" s="29">
        <v>3.08</v>
      </c>
    </row>
    <row r="568" spans="1:6" ht="15" customHeight="1" x14ac:dyDescent="0.2">
      <c r="A568" s="8" t="s">
        <v>1146</v>
      </c>
      <c r="B568" s="8" t="s">
        <v>932</v>
      </c>
      <c r="C568" s="8" t="s">
        <v>566</v>
      </c>
      <c r="D568" s="29">
        <v>2017.9</v>
      </c>
      <c r="E568" s="29">
        <v>2019.2</v>
      </c>
      <c r="F568" s="29">
        <v>1.25</v>
      </c>
    </row>
    <row r="569" spans="1:6" ht="15" customHeight="1" x14ac:dyDescent="0.2">
      <c r="A569" s="8" t="s">
        <v>1147</v>
      </c>
      <c r="B569" s="8" t="s">
        <v>980</v>
      </c>
      <c r="C569" s="8" t="s">
        <v>566</v>
      </c>
      <c r="D569" s="29">
        <v>2017.9</v>
      </c>
      <c r="E569" s="29">
        <v>2019.2</v>
      </c>
      <c r="F569" s="29">
        <v>1.25</v>
      </c>
    </row>
    <row r="570" spans="1:6" ht="15" customHeight="1" x14ac:dyDescent="0.2">
      <c r="A570" s="8" t="s">
        <v>1148</v>
      </c>
      <c r="B570" s="8" t="s">
        <v>960</v>
      </c>
      <c r="C570" s="8" t="s">
        <v>566</v>
      </c>
      <c r="D570" s="29">
        <v>2017.9</v>
      </c>
      <c r="E570" s="29">
        <v>2025.4</v>
      </c>
      <c r="F570" s="29">
        <v>7.5</v>
      </c>
    </row>
    <row r="571" spans="1:6" ht="15" customHeight="1" x14ac:dyDescent="0.2">
      <c r="A571" s="8" t="s">
        <v>1149</v>
      </c>
      <c r="B571" s="8" t="s">
        <v>953</v>
      </c>
      <c r="C571" s="8" t="s">
        <v>562</v>
      </c>
      <c r="D571" s="29">
        <v>2018</v>
      </c>
      <c r="E571" s="29">
        <v>2019.9</v>
      </c>
      <c r="F571" s="29">
        <v>1.92</v>
      </c>
    </row>
    <row r="572" spans="1:6" ht="15" customHeight="1" x14ac:dyDescent="0.2">
      <c r="A572" s="8" t="s">
        <v>1150</v>
      </c>
      <c r="B572" s="8" t="s">
        <v>932</v>
      </c>
      <c r="C572" s="8" t="s">
        <v>566</v>
      </c>
      <c r="D572" s="29">
        <v>2018</v>
      </c>
      <c r="E572" s="29">
        <v>2019.8</v>
      </c>
      <c r="F572" s="29">
        <v>1.75</v>
      </c>
    </row>
    <row r="573" spans="1:6" ht="15" customHeight="1" x14ac:dyDescent="0.2">
      <c r="A573" s="8" t="s">
        <v>1151</v>
      </c>
      <c r="B573" s="8" t="s">
        <v>980</v>
      </c>
      <c r="C573" s="8" t="s">
        <v>566</v>
      </c>
      <c r="D573" s="29">
        <v>2018</v>
      </c>
      <c r="E573" s="29">
        <v>2020.9</v>
      </c>
      <c r="F573" s="29">
        <v>2.92</v>
      </c>
    </row>
    <row r="574" spans="1:6" ht="15" customHeight="1" x14ac:dyDescent="0.2">
      <c r="A574" s="8" t="s">
        <v>1152</v>
      </c>
      <c r="B574" s="8" t="s">
        <v>958</v>
      </c>
      <c r="C574" s="8" t="s">
        <v>566</v>
      </c>
      <c r="D574" s="29">
        <v>2018.1</v>
      </c>
      <c r="E574" s="29">
        <v>2024</v>
      </c>
      <c r="F574" s="29">
        <v>5.92</v>
      </c>
    </row>
    <row r="575" spans="1:6" ht="15" customHeight="1" x14ac:dyDescent="0.2">
      <c r="A575" s="8" t="s">
        <v>1153</v>
      </c>
      <c r="B575" s="8" t="s">
        <v>932</v>
      </c>
      <c r="C575" s="8" t="s">
        <v>566</v>
      </c>
      <c r="D575" s="29">
        <v>2018.1</v>
      </c>
      <c r="E575" s="29">
        <v>2023.2</v>
      </c>
      <c r="F575" s="29">
        <v>5.08</v>
      </c>
    </row>
    <row r="576" spans="1:6" ht="15" customHeight="1" x14ac:dyDescent="0.2">
      <c r="A576" s="8" t="s">
        <v>1154</v>
      </c>
      <c r="B576" s="8" t="s">
        <v>932</v>
      </c>
      <c r="C576" s="8" t="s">
        <v>566</v>
      </c>
      <c r="D576" s="29">
        <v>2018.2</v>
      </c>
      <c r="E576" s="29">
        <v>2019.7</v>
      </c>
      <c r="F576" s="29">
        <v>1.5</v>
      </c>
    </row>
    <row r="577" spans="1:6" ht="15" customHeight="1" x14ac:dyDescent="0.2">
      <c r="A577" s="8" t="s">
        <v>1155</v>
      </c>
      <c r="B577" s="8" t="s">
        <v>980</v>
      </c>
      <c r="C577" s="8" t="s">
        <v>566</v>
      </c>
      <c r="D577" s="29">
        <v>2018.2</v>
      </c>
      <c r="E577" s="29">
        <v>2021.7</v>
      </c>
      <c r="F577" s="29">
        <v>3.5</v>
      </c>
    </row>
    <row r="578" spans="1:6" ht="15" customHeight="1" x14ac:dyDescent="0.2">
      <c r="A578" s="8" t="s">
        <v>1156</v>
      </c>
      <c r="B578" s="8" t="s">
        <v>808</v>
      </c>
      <c r="C578" s="8" t="s">
        <v>566</v>
      </c>
      <c r="D578" s="29">
        <v>2018.2</v>
      </c>
      <c r="E578" s="29">
        <v>2021.2</v>
      </c>
      <c r="F578" s="29">
        <v>3</v>
      </c>
    </row>
    <row r="579" spans="1:6" ht="15" customHeight="1" x14ac:dyDescent="0.2">
      <c r="A579" s="8" t="s">
        <v>1157</v>
      </c>
      <c r="B579" s="8" t="s">
        <v>960</v>
      </c>
      <c r="C579" s="8" t="s">
        <v>566</v>
      </c>
      <c r="D579" s="29">
        <v>2018.2</v>
      </c>
      <c r="E579" s="29">
        <v>2025.1</v>
      </c>
      <c r="F579" s="29">
        <v>6.92</v>
      </c>
    </row>
    <row r="580" spans="1:6" ht="15" customHeight="1" x14ac:dyDescent="0.2">
      <c r="A580" s="8" t="s">
        <v>1158</v>
      </c>
      <c r="B580" s="8" t="s">
        <v>980</v>
      </c>
      <c r="C580" s="8" t="s">
        <v>562</v>
      </c>
      <c r="D580" s="29">
        <v>2018.2</v>
      </c>
      <c r="E580" s="29">
        <v>2019.8</v>
      </c>
      <c r="F580" s="29">
        <v>1.58</v>
      </c>
    </row>
    <row r="581" spans="1:6" ht="15" customHeight="1" x14ac:dyDescent="0.2">
      <c r="A581" s="8" t="s">
        <v>1159</v>
      </c>
      <c r="B581" s="8" t="s">
        <v>953</v>
      </c>
      <c r="C581" s="8" t="s">
        <v>562</v>
      </c>
      <c r="D581" s="29">
        <v>2018.2</v>
      </c>
      <c r="E581" s="29">
        <v>2020.7</v>
      </c>
      <c r="F581" s="29">
        <v>2.5</v>
      </c>
    </row>
    <row r="582" spans="1:6" ht="15" customHeight="1" x14ac:dyDescent="0.2">
      <c r="A582" s="8" t="s">
        <v>1160</v>
      </c>
      <c r="B582" s="8" t="s">
        <v>953</v>
      </c>
      <c r="C582" s="8" t="s">
        <v>562</v>
      </c>
      <c r="D582" s="29">
        <v>2018.2</v>
      </c>
      <c r="E582" s="29">
        <v>2023.8</v>
      </c>
      <c r="F582" s="29">
        <v>5.67</v>
      </c>
    </row>
    <row r="583" spans="1:6" ht="15" customHeight="1" x14ac:dyDescent="0.2">
      <c r="A583" s="8" t="s">
        <v>1161</v>
      </c>
      <c r="B583" s="8" t="s">
        <v>953</v>
      </c>
      <c r="C583" s="8" t="s">
        <v>562</v>
      </c>
      <c r="D583" s="29">
        <v>2018.2</v>
      </c>
      <c r="E583" s="29">
        <v>2022.2</v>
      </c>
      <c r="F583" s="29">
        <v>4.08</v>
      </c>
    </row>
    <row r="584" spans="1:6" ht="15" customHeight="1" x14ac:dyDescent="0.2">
      <c r="A584" s="8" t="s">
        <v>1162</v>
      </c>
      <c r="B584" s="8" t="s">
        <v>953</v>
      </c>
      <c r="C584" s="8" t="s">
        <v>566</v>
      </c>
      <c r="D584" s="29">
        <v>2018.2</v>
      </c>
      <c r="E584" s="29">
        <v>2023.9</v>
      </c>
      <c r="F584" s="29">
        <v>5.75</v>
      </c>
    </row>
    <row r="585" spans="1:6" ht="15" customHeight="1" x14ac:dyDescent="0.2">
      <c r="A585" s="8" t="s">
        <v>1163</v>
      </c>
      <c r="B585" s="8" t="s">
        <v>953</v>
      </c>
      <c r="C585" s="8" t="s">
        <v>566</v>
      </c>
      <c r="D585" s="29">
        <v>2018.2</v>
      </c>
      <c r="E585" s="29">
        <v>2024.2</v>
      </c>
      <c r="F585" s="29">
        <v>6</v>
      </c>
    </row>
    <row r="586" spans="1:6" ht="15" customHeight="1" x14ac:dyDescent="0.2">
      <c r="A586" s="8" t="s">
        <v>1164</v>
      </c>
      <c r="B586" s="8" t="s">
        <v>953</v>
      </c>
      <c r="C586" s="8" t="s">
        <v>560</v>
      </c>
      <c r="D586" s="29">
        <v>2018.2</v>
      </c>
      <c r="E586" s="29">
        <v>2023.7</v>
      </c>
      <c r="F586" s="29">
        <v>5.5</v>
      </c>
    </row>
    <row r="587" spans="1:6" ht="15" customHeight="1" x14ac:dyDescent="0.2">
      <c r="A587" s="8" t="s">
        <v>1165</v>
      </c>
      <c r="B587" s="8" t="s">
        <v>655</v>
      </c>
      <c r="C587" s="8" t="s">
        <v>566</v>
      </c>
      <c r="D587" s="29">
        <v>2018.2</v>
      </c>
      <c r="E587" s="29">
        <v>2023.5</v>
      </c>
      <c r="F587" s="29">
        <v>5.33</v>
      </c>
    </row>
    <row r="588" spans="1:6" ht="15" customHeight="1" x14ac:dyDescent="0.2">
      <c r="A588" s="8" t="s">
        <v>1166</v>
      </c>
      <c r="B588" s="8" t="s">
        <v>960</v>
      </c>
      <c r="C588" s="8" t="s">
        <v>566</v>
      </c>
      <c r="D588" s="29">
        <v>2018.2</v>
      </c>
      <c r="E588" s="29">
        <v>2024</v>
      </c>
      <c r="F588" s="29">
        <v>5.83</v>
      </c>
    </row>
    <row r="589" spans="1:6" ht="15" customHeight="1" x14ac:dyDescent="0.2">
      <c r="A589" s="8" t="s">
        <v>1167</v>
      </c>
      <c r="B589" s="8" t="s">
        <v>953</v>
      </c>
      <c r="C589" s="8" t="s">
        <v>562</v>
      </c>
      <c r="D589" s="29">
        <v>2018.2</v>
      </c>
      <c r="E589" s="29">
        <v>2022.2</v>
      </c>
      <c r="F589" s="29">
        <v>4.08</v>
      </c>
    </row>
    <row r="590" spans="1:6" ht="15" customHeight="1" x14ac:dyDescent="0.2">
      <c r="A590" s="8" t="s">
        <v>1168</v>
      </c>
      <c r="B590" s="8" t="s">
        <v>787</v>
      </c>
      <c r="C590" s="8" t="s">
        <v>566</v>
      </c>
      <c r="D590" s="29">
        <v>2018.2</v>
      </c>
      <c r="E590" s="29">
        <v>2023.8</v>
      </c>
      <c r="F590" s="29">
        <v>5.67</v>
      </c>
    </row>
    <row r="591" spans="1:6" ht="15" customHeight="1" x14ac:dyDescent="0.2">
      <c r="A591" s="8" t="s">
        <v>1169</v>
      </c>
      <c r="B591" s="8" t="s">
        <v>996</v>
      </c>
      <c r="C591" s="8" t="s">
        <v>560</v>
      </c>
      <c r="D591" s="29">
        <v>2018.2</v>
      </c>
      <c r="E591" s="29">
        <v>2021.8</v>
      </c>
      <c r="F591" s="29">
        <v>3.58</v>
      </c>
    </row>
    <row r="592" spans="1:6" ht="15" customHeight="1" x14ac:dyDescent="0.2">
      <c r="A592" s="8" t="s">
        <v>1170</v>
      </c>
      <c r="B592" s="8" t="s">
        <v>960</v>
      </c>
      <c r="C592" s="8" t="s">
        <v>562</v>
      </c>
      <c r="D592" s="29">
        <v>2018.2</v>
      </c>
      <c r="E592" s="29">
        <v>2023.1</v>
      </c>
      <c r="F592" s="29">
        <v>4.92</v>
      </c>
    </row>
    <row r="593" spans="1:6" ht="15" customHeight="1" x14ac:dyDescent="0.2">
      <c r="A593" s="8" t="s">
        <v>1171</v>
      </c>
      <c r="B593" s="8" t="s">
        <v>980</v>
      </c>
      <c r="C593" s="8" t="s">
        <v>566</v>
      </c>
      <c r="D593" s="29">
        <v>2018.2</v>
      </c>
      <c r="E593" s="29">
        <v>2024.2</v>
      </c>
      <c r="F593" s="29">
        <v>6.08</v>
      </c>
    </row>
    <row r="594" spans="1:6" ht="15" customHeight="1" x14ac:dyDescent="0.2">
      <c r="A594" s="8" t="s">
        <v>1172</v>
      </c>
      <c r="B594" s="8" t="s">
        <v>980</v>
      </c>
      <c r="C594" s="8" t="s">
        <v>564</v>
      </c>
      <c r="D594" s="29">
        <v>2018.2</v>
      </c>
      <c r="E594" s="29">
        <v>2019</v>
      </c>
      <c r="F594" s="29">
        <v>0.75</v>
      </c>
    </row>
    <row r="595" spans="1:6" ht="15" customHeight="1" x14ac:dyDescent="0.2">
      <c r="A595" s="8" t="s">
        <v>1173</v>
      </c>
      <c r="B595" s="8" t="s">
        <v>932</v>
      </c>
      <c r="C595" s="8" t="s">
        <v>564</v>
      </c>
      <c r="D595" s="29">
        <v>2018.2</v>
      </c>
      <c r="E595" s="29">
        <v>2024.1</v>
      </c>
      <c r="F595" s="29">
        <v>5.83</v>
      </c>
    </row>
    <row r="596" spans="1:6" ht="15" customHeight="1" x14ac:dyDescent="0.2">
      <c r="A596" s="8" t="s">
        <v>1174</v>
      </c>
      <c r="B596" s="8" t="s">
        <v>958</v>
      </c>
      <c r="C596" s="8" t="s">
        <v>657</v>
      </c>
      <c r="D596" s="29">
        <v>2018.2</v>
      </c>
      <c r="E596" s="29">
        <v>2023.1</v>
      </c>
      <c r="F596" s="29">
        <v>4.83</v>
      </c>
    </row>
    <row r="597" spans="1:6" ht="15" customHeight="1" x14ac:dyDescent="0.2">
      <c r="A597" s="8" t="s">
        <v>1175</v>
      </c>
      <c r="B597" s="8" t="s">
        <v>960</v>
      </c>
      <c r="C597" s="8" t="s">
        <v>796</v>
      </c>
      <c r="D597" s="29">
        <v>2018.3</v>
      </c>
      <c r="E597" s="29">
        <v>2021.4</v>
      </c>
      <c r="F597" s="29">
        <v>3.08</v>
      </c>
    </row>
    <row r="598" spans="1:6" ht="15" customHeight="1" x14ac:dyDescent="0.2">
      <c r="A598" s="8" t="s">
        <v>1176</v>
      </c>
      <c r="B598" s="8" t="s">
        <v>655</v>
      </c>
      <c r="C598" s="8" t="s">
        <v>566</v>
      </c>
      <c r="D598" s="29">
        <v>2018.4</v>
      </c>
      <c r="E598" s="29">
        <v>2020.1</v>
      </c>
      <c r="F598" s="29">
        <v>1.67</v>
      </c>
    </row>
    <row r="599" spans="1:6" ht="15" customHeight="1" x14ac:dyDescent="0.2">
      <c r="A599" s="8" t="s">
        <v>1177</v>
      </c>
      <c r="B599" s="8" t="s">
        <v>779</v>
      </c>
      <c r="C599" s="8" t="s">
        <v>765</v>
      </c>
      <c r="D599" s="29">
        <v>2018.4</v>
      </c>
      <c r="E599" s="29">
        <v>2019.8</v>
      </c>
      <c r="F599" s="29">
        <v>1.33</v>
      </c>
    </row>
    <row r="600" spans="1:6" ht="15" customHeight="1" x14ac:dyDescent="0.2">
      <c r="A600" s="8" t="s">
        <v>1178</v>
      </c>
      <c r="B600" s="8" t="s">
        <v>960</v>
      </c>
      <c r="C600" s="8" t="s">
        <v>566</v>
      </c>
      <c r="D600" s="29">
        <v>2018.4</v>
      </c>
      <c r="E600" s="29">
        <v>2025</v>
      </c>
      <c r="F600" s="29">
        <v>6.58</v>
      </c>
    </row>
    <row r="601" spans="1:6" ht="15" customHeight="1" x14ac:dyDescent="0.2">
      <c r="A601" s="8" t="s">
        <v>1179</v>
      </c>
      <c r="B601" s="8" t="s">
        <v>932</v>
      </c>
      <c r="C601" s="8" t="s">
        <v>761</v>
      </c>
      <c r="D601" s="29">
        <v>2018.4</v>
      </c>
      <c r="E601" s="29">
        <v>2019.9</v>
      </c>
      <c r="F601" s="29">
        <v>1.5</v>
      </c>
    </row>
    <row r="602" spans="1:6" ht="15" customHeight="1" x14ac:dyDescent="0.2">
      <c r="A602" s="8" t="s">
        <v>1180</v>
      </c>
      <c r="B602" s="8" t="s">
        <v>960</v>
      </c>
      <c r="C602" s="8" t="s">
        <v>796</v>
      </c>
      <c r="D602" s="29">
        <v>2018.5</v>
      </c>
      <c r="E602" s="29">
        <v>2025.3</v>
      </c>
      <c r="F602" s="29">
        <v>6.83</v>
      </c>
    </row>
    <row r="603" spans="1:6" ht="15" customHeight="1" x14ac:dyDescent="0.2">
      <c r="A603" s="8" t="s">
        <v>1181</v>
      </c>
      <c r="B603" s="8" t="s">
        <v>932</v>
      </c>
      <c r="C603" s="8" t="s">
        <v>564</v>
      </c>
      <c r="D603" s="29">
        <v>2018.5</v>
      </c>
      <c r="E603" s="29">
        <v>2023.4</v>
      </c>
      <c r="F603" s="29">
        <v>4.92</v>
      </c>
    </row>
    <row r="604" spans="1:6" ht="15" customHeight="1" x14ac:dyDescent="0.2">
      <c r="A604" s="8" t="s">
        <v>1182</v>
      </c>
      <c r="B604" s="8" t="s">
        <v>953</v>
      </c>
      <c r="C604" s="8" t="s">
        <v>566</v>
      </c>
      <c r="D604" s="29">
        <v>2018.5</v>
      </c>
      <c r="E604" s="29">
        <v>2025.1</v>
      </c>
      <c r="F604" s="29">
        <v>6.58</v>
      </c>
    </row>
    <row r="605" spans="1:6" ht="15" customHeight="1" x14ac:dyDescent="0.2">
      <c r="A605" s="8" t="s">
        <v>1183</v>
      </c>
      <c r="B605" s="8" t="s">
        <v>980</v>
      </c>
      <c r="C605" s="8" t="s">
        <v>566</v>
      </c>
      <c r="D605" s="29">
        <v>2018.6</v>
      </c>
      <c r="E605" s="29">
        <v>2025</v>
      </c>
      <c r="F605" s="29">
        <v>6.42</v>
      </c>
    </row>
    <row r="606" spans="1:6" ht="15" customHeight="1" x14ac:dyDescent="0.2">
      <c r="A606" s="8" t="s">
        <v>1184</v>
      </c>
      <c r="B606" s="8" t="s">
        <v>932</v>
      </c>
      <c r="C606" s="8" t="s">
        <v>566</v>
      </c>
      <c r="D606" s="29">
        <v>2018.6</v>
      </c>
      <c r="E606" s="29">
        <v>2020.7</v>
      </c>
      <c r="F606" s="29">
        <v>2.08</v>
      </c>
    </row>
    <row r="607" spans="1:6" ht="15" customHeight="1" x14ac:dyDescent="0.2">
      <c r="A607" s="8" t="s">
        <v>1185</v>
      </c>
      <c r="B607" s="8" t="s">
        <v>996</v>
      </c>
      <c r="C607" s="8" t="s">
        <v>560</v>
      </c>
      <c r="D607" s="29">
        <v>2018.6</v>
      </c>
      <c r="E607" s="29">
        <v>2020.2</v>
      </c>
      <c r="F607" s="29">
        <v>1.58</v>
      </c>
    </row>
    <row r="608" spans="1:6" ht="15" customHeight="1" x14ac:dyDescent="0.2">
      <c r="A608" s="8" t="s">
        <v>1186</v>
      </c>
      <c r="B608" s="8" t="s">
        <v>960</v>
      </c>
      <c r="C608" s="8" t="s">
        <v>566</v>
      </c>
      <c r="D608" s="29">
        <v>2018.7</v>
      </c>
      <c r="E608" s="29">
        <v>2025.1</v>
      </c>
      <c r="F608" s="29">
        <v>6.42</v>
      </c>
    </row>
    <row r="609" spans="1:6" ht="15" customHeight="1" x14ac:dyDescent="0.2">
      <c r="A609" s="8" t="s">
        <v>1187</v>
      </c>
      <c r="B609" s="8" t="s">
        <v>980</v>
      </c>
      <c r="C609" s="8" t="s">
        <v>566</v>
      </c>
      <c r="D609" s="29">
        <v>2018.7</v>
      </c>
      <c r="E609" s="29">
        <v>2024.1</v>
      </c>
      <c r="F609" s="29">
        <v>5.42</v>
      </c>
    </row>
    <row r="610" spans="1:6" ht="15" customHeight="1" x14ac:dyDescent="0.2">
      <c r="A610" s="8" t="s">
        <v>1188</v>
      </c>
      <c r="B610" s="8" t="s">
        <v>953</v>
      </c>
      <c r="C610" s="8" t="s">
        <v>566</v>
      </c>
      <c r="D610" s="29">
        <v>2018.7</v>
      </c>
      <c r="E610" s="29">
        <v>2024.4</v>
      </c>
      <c r="F610" s="29">
        <v>5.75</v>
      </c>
    </row>
    <row r="611" spans="1:6" ht="15" customHeight="1" x14ac:dyDescent="0.2">
      <c r="A611" s="8" t="s">
        <v>1189</v>
      </c>
      <c r="B611" s="8" t="s">
        <v>996</v>
      </c>
      <c r="C611" s="8" t="s">
        <v>566</v>
      </c>
      <c r="D611" s="29">
        <v>2018.7</v>
      </c>
      <c r="E611" s="29">
        <v>2024.5</v>
      </c>
      <c r="F611" s="29">
        <v>5.83</v>
      </c>
    </row>
    <row r="612" spans="1:6" ht="15" customHeight="1" x14ac:dyDescent="0.2">
      <c r="A612" s="8" t="s">
        <v>1190</v>
      </c>
      <c r="B612" s="8" t="s">
        <v>953</v>
      </c>
      <c r="C612" s="8" t="s">
        <v>562</v>
      </c>
      <c r="D612" s="29">
        <v>2018.7</v>
      </c>
      <c r="E612" s="29">
        <v>2023.8</v>
      </c>
      <c r="F612" s="29">
        <v>5.17</v>
      </c>
    </row>
    <row r="613" spans="1:6" ht="15" customHeight="1" x14ac:dyDescent="0.2">
      <c r="A613" s="8" t="s">
        <v>1191</v>
      </c>
      <c r="B613" s="8" t="s">
        <v>787</v>
      </c>
      <c r="C613" s="8" t="s">
        <v>562</v>
      </c>
      <c r="D613" s="29">
        <v>2018.7</v>
      </c>
      <c r="E613" s="29">
        <v>2023.3</v>
      </c>
      <c r="F613" s="29">
        <v>4.67</v>
      </c>
    </row>
    <row r="614" spans="1:6" ht="15" customHeight="1" x14ac:dyDescent="0.2">
      <c r="A614" s="8" t="s">
        <v>1192</v>
      </c>
      <c r="B614" s="8" t="s">
        <v>932</v>
      </c>
      <c r="C614" s="8" t="s">
        <v>566</v>
      </c>
      <c r="D614" s="29">
        <v>2018.7</v>
      </c>
      <c r="E614" s="29">
        <v>2021.2</v>
      </c>
      <c r="F614" s="29">
        <v>2.5</v>
      </c>
    </row>
    <row r="615" spans="1:6" ht="15" customHeight="1" x14ac:dyDescent="0.2">
      <c r="A615" s="8" t="s">
        <v>1193</v>
      </c>
      <c r="B615" s="8" t="s">
        <v>980</v>
      </c>
      <c r="C615" s="8" t="s">
        <v>566</v>
      </c>
      <c r="D615" s="29">
        <v>2018.7</v>
      </c>
      <c r="E615" s="29">
        <v>2024.9</v>
      </c>
      <c r="F615" s="29">
        <v>6.25</v>
      </c>
    </row>
    <row r="616" spans="1:6" ht="15" customHeight="1" x14ac:dyDescent="0.2">
      <c r="A616" s="8" t="s">
        <v>1194</v>
      </c>
      <c r="B616" s="8" t="s">
        <v>932</v>
      </c>
      <c r="C616" s="8" t="s">
        <v>566</v>
      </c>
      <c r="D616" s="29">
        <v>2018.7</v>
      </c>
      <c r="E616" s="29">
        <v>2025.5</v>
      </c>
      <c r="F616" s="29">
        <v>6.83</v>
      </c>
    </row>
    <row r="617" spans="1:6" ht="15" customHeight="1" x14ac:dyDescent="0.2">
      <c r="A617" s="8" t="s">
        <v>1195</v>
      </c>
      <c r="B617" s="8" t="s">
        <v>980</v>
      </c>
      <c r="C617" s="8" t="s">
        <v>566</v>
      </c>
      <c r="D617" s="29">
        <v>2018.7</v>
      </c>
      <c r="E617" s="29">
        <v>2023.6</v>
      </c>
      <c r="F617" s="29">
        <v>4.92</v>
      </c>
    </row>
    <row r="618" spans="1:6" ht="15" customHeight="1" x14ac:dyDescent="0.2">
      <c r="A618" s="8" t="s">
        <v>1196</v>
      </c>
      <c r="B618" s="8" t="s">
        <v>980</v>
      </c>
      <c r="C618" s="8" t="s">
        <v>566</v>
      </c>
      <c r="D618" s="29">
        <v>2018.7</v>
      </c>
      <c r="E618" s="29">
        <v>2022.3</v>
      </c>
      <c r="F618" s="29">
        <v>3.67</v>
      </c>
    </row>
    <row r="619" spans="1:6" ht="15" customHeight="1" x14ac:dyDescent="0.2">
      <c r="A619" s="8" t="s">
        <v>1197</v>
      </c>
      <c r="B619" s="8" t="s">
        <v>980</v>
      </c>
      <c r="C619" s="8" t="s">
        <v>759</v>
      </c>
      <c r="D619" s="29">
        <v>2018.7</v>
      </c>
      <c r="E619" s="29">
        <v>2020.3</v>
      </c>
      <c r="F619" s="29">
        <v>1.67</v>
      </c>
    </row>
    <row r="620" spans="1:6" ht="15" customHeight="1" x14ac:dyDescent="0.2">
      <c r="A620" s="8" t="s">
        <v>1198</v>
      </c>
      <c r="B620" s="8" t="s">
        <v>980</v>
      </c>
      <c r="C620" s="8" t="s">
        <v>562</v>
      </c>
      <c r="D620" s="29">
        <v>2018.7</v>
      </c>
      <c r="E620" s="29">
        <v>2021.3</v>
      </c>
      <c r="F620" s="29">
        <v>2.67</v>
      </c>
    </row>
    <row r="621" spans="1:6" ht="15" customHeight="1" x14ac:dyDescent="0.2">
      <c r="A621" s="8" t="s">
        <v>1199</v>
      </c>
      <c r="B621" s="8" t="s">
        <v>953</v>
      </c>
      <c r="C621" s="8" t="s">
        <v>566</v>
      </c>
      <c r="D621" s="29">
        <v>2018.7</v>
      </c>
      <c r="E621" s="29">
        <v>2024.6</v>
      </c>
      <c r="F621" s="29">
        <v>5.92</v>
      </c>
    </row>
    <row r="622" spans="1:6" ht="15" customHeight="1" x14ac:dyDescent="0.2">
      <c r="A622" s="8" t="s">
        <v>1200</v>
      </c>
      <c r="B622" s="8" t="s">
        <v>980</v>
      </c>
      <c r="C622" s="8" t="s">
        <v>566</v>
      </c>
      <c r="D622" s="29">
        <v>2018.7</v>
      </c>
      <c r="E622" s="29">
        <v>2025.9</v>
      </c>
      <c r="F622" s="29">
        <v>7.25</v>
      </c>
    </row>
    <row r="623" spans="1:6" ht="15" customHeight="1" x14ac:dyDescent="0.2">
      <c r="A623" s="8" t="s">
        <v>1201</v>
      </c>
      <c r="B623" s="8" t="s">
        <v>980</v>
      </c>
      <c r="C623" s="8" t="s">
        <v>566</v>
      </c>
      <c r="D623" s="29">
        <v>2018.7</v>
      </c>
      <c r="E623" s="29">
        <v>2025.9</v>
      </c>
      <c r="F623" s="29">
        <v>7.25</v>
      </c>
    </row>
    <row r="624" spans="1:6" ht="15" customHeight="1" x14ac:dyDescent="0.2">
      <c r="A624" s="8" t="s">
        <v>1202</v>
      </c>
      <c r="B624" s="8" t="s">
        <v>953</v>
      </c>
      <c r="C624" s="8" t="s">
        <v>566</v>
      </c>
      <c r="D624" s="29">
        <v>2018.7</v>
      </c>
      <c r="E624" s="29">
        <v>2024.2</v>
      </c>
      <c r="F624" s="29">
        <v>5.58</v>
      </c>
    </row>
    <row r="625" spans="1:6" ht="15" customHeight="1" x14ac:dyDescent="0.2">
      <c r="A625" s="8" t="s">
        <v>1203</v>
      </c>
      <c r="B625" s="8" t="s">
        <v>953</v>
      </c>
      <c r="C625" s="8" t="s">
        <v>562</v>
      </c>
      <c r="D625" s="29">
        <v>2018.8</v>
      </c>
      <c r="E625" s="29">
        <v>2020.6</v>
      </c>
      <c r="F625" s="29">
        <v>1.83</v>
      </c>
    </row>
    <row r="626" spans="1:6" ht="15" customHeight="1" x14ac:dyDescent="0.2">
      <c r="A626" s="8" t="s">
        <v>1204</v>
      </c>
      <c r="B626" s="8" t="s">
        <v>787</v>
      </c>
      <c r="C626" s="8" t="s">
        <v>566</v>
      </c>
      <c r="D626" s="29">
        <v>2019</v>
      </c>
      <c r="E626" s="29">
        <v>2023.8</v>
      </c>
      <c r="F626" s="29">
        <v>4.83</v>
      </c>
    </row>
    <row r="627" spans="1:6" ht="15" customHeight="1" x14ac:dyDescent="0.2">
      <c r="A627" s="8" t="s">
        <v>1205</v>
      </c>
      <c r="B627" s="8" t="s">
        <v>953</v>
      </c>
      <c r="C627" s="8" t="s">
        <v>566</v>
      </c>
      <c r="D627" s="29">
        <v>2019</v>
      </c>
      <c r="E627" s="29">
        <v>2025.6</v>
      </c>
      <c r="F627" s="29">
        <v>6.58</v>
      </c>
    </row>
    <row r="628" spans="1:6" ht="15" customHeight="1" x14ac:dyDescent="0.2">
      <c r="A628" s="8" t="s">
        <v>1206</v>
      </c>
      <c r="B628" s="8" t="s">
        <v>953</v>
      </c>
      <c r="C628" s="8" t="s">
        <v>566</v>
      </c>
      <c r="D628" s="29">
        <v>2019.1</v>
      </c>
      <c r="E628" s="29">
        <v>2025</v>
      </c>
      <c r="F628" s="29">
        <v>5.92</v>
      </c>
    </row>
    <row r="629" spans="1:6" ht="15" customHeight="1" x14ac:dyDescent="0.2">
      <c r="A629" s="8" t="s">
        <v>1207</v>
      </c>
      <c r="B629" s="8" t="s">
        <v>953</v>
      </c>
      <c r="C629" s="8" t="s">
        <v>566</v>
      </c>
      <c r="D629" s="29">
        <v>2019.1</v>
      </c>
      <c r="E629" s="29">
        <v>2024.6</v>
      </c>
      <c r="F629" s="29">
        <v>5.5</v>
      </c>
    </row>
    <row r="630" spans="1:6" ht="15" customHeight="1" x14ac:dyDescent="0.2">
      <c r="A630" s="8" t="s">
        <v>1208</v>
      </c>
      <c r="B630" s="8" t="s">
        <v>953</v>
      </c>
      <c r="C630" s="8" t="s">
        <v>566</v>
      </c>
      <c r="D630" s="29">
        <v>2019.1</v>
      </c>
      <c r="E630" s="29">
        <v>2023.9</v>
      </c>
      <c r="F630" s="29">
        <v>4.83</v>
      </c>
    </row>
    <row r="631" spans="1:6" ht="15" customHeight="1" x14ac:dyDescent="0.2">
      <c r="A631" s="8" t="s">
        <v>1209</v>
      </c>
      <c r="B631" s="8" t="s">
        <v>787</v>
      </c>
      <c r="C631" s="8" t="s">
        <v>564</v>
      </c>
      <c r="D631" s="29">
        <v>2019.1</v>
      </c>
      <c r="E631" s="29">
        <v>2021.2</v>
      </c>
      <c r="F631" s="29">
        <v>2.17</v>
      </c>
    </row>
    <row r="632" spans="1:6" ht="15" customHeight="1" x14ac:dyDescent="0.2">
      <c r="A632" s="8" t="s">
        <v>1210</v>
      </c>
      <c r="B632" s="8" t="s">
        <v>932</v>
      </c>
      <c r="C632" s="8" t="s">
        <v>566</v>
      </c>
      <c r="D632" s="29">
        <v>2019.1</v>
      </c>
      <c r="E632" s="29">
        <v>2023.9</v>
      </c>
      <c r="F632" s="29">
        <v>4.83</v>
      </c>
    </row>
    <row r="633" spans="1:6" ht="15" customHeight="1" x14ac:dyDescent="0.2">
      <c r="A633" s="8" t="s">
        <v>1211</v>
      </c>
      <c r="B633" s="8" t="s">
        <v>932</v>
      </c>
      <c r="C633" s="8" t="s">
        <v>566</v>
      </c>
      <c r="D633" s="29">
        <v>2019.1</v>
      </c>
      <c r="E633" s="29">
        <v>2020.7</v>
      </c>
      <c r="F633" s="29">
        <v>1.58</v>
      </c>
    </row>
    <row r="634" spans="1:6" ht="15" customHeight="1" x14ac:dyDescent="0.2">
      <c r="A634" s="8" t="s">
        <v>1212</v>
      </c>
      <c r="B634" s="8" t="s">
        <v>1047</v>
      </c>
      <c r="C634" s="8" t="s">
        <v>566</v>
      </c>
      <c r="D634" s="29">
        <v>2019.1</v>
      </c>
      <c r="E634" s="29">
        <v>2024.4</v>
      </c>
      <c r="F634" s="29">
        <v>5.33</v>
      </c>
    </row>
    <row r="635" spans="1:6" ht="15" customHeight="1" x14ac:dyDescent="0.2">
      <c r="A635" s="8" t="s">
        <v>1213</v>
      </c>
      <c r="B635" s="8" t="s">
        <v>960</v>
      </c>
      <c r="C635" s="8" t="s">
        <v>566</v>
      </c>
      <c r="D635" s="29">
        <v>2019.1</v>
      </c>
      <c r="E635" s="29">
        <v>2025.2</v>
      </c>
      <c r="F635" s="29">
        <v>6.17</v>
      </c>
    </row>
    <row r="636" spans="1:6" ht="15" customHeight="1" x14ac:dyDescent="0.2">
      <c r="A636" s="8" t="s">
        <v>1214</v>
      </c>
      <c r="B636" s="8" t="s">
        <v>953</v>
      </c>
      <c r="C636" s="8" t="s">
        <v>566</v>
      </c>
      <c r="D636" s="29">
        <v>2019.2</v>
      </c>
      <c r="E636" s="29">
        <v>2023.8</v>
      </c>
      <c r="F636" s="29">
        <v>4.67</v>
      </c>
    </row>
    <row r="637" spans="1:6" ht="15" customHeight="1" x14ac:dyDescent="0.2">
      <c r="A637" s="8" t="s">
        <v>1215</v>
      </c>
      <c r="B637" s="8" t="s">
        <v>953</v>
      </c>
      <c r="C637" s="8" t="s">
        <v>566</v>
      </c>
      <c r="D637" s="29">
        <v>2019.2</v>
      </c>
      <c r="E637" s="29">
        <v>2023.8</v>
      </c>
      <c r="F637" s="29">
        <v>4.67</v>
      </c>
    </row>
    <row r="638" spans="1:6" ht="15" customHeight="1" x14ac:dyDescent="0.2">
      <c r="A638" s="8" t="s">
        <v>1216</v>
      </c>
      <c r="B638" s="8" t="s">
        <v>953</v>
      </c>
      <c r="C638" s="8" t="s">
        <v>566</v>
      </c>
      <c r="D638" s="29">
        <v>2019.2</v>
      </c>
      <c r="E638" s="29">
        <v>2024.9</v>
      </c>
      <c r="F638" s="29">
        <v>5.75</v>
      </c>
    </row>
    <row r="639" spans="1:6" ht="15" customHeight="1" x14ac:dyDescent="0.2">
      <c r="A639" s="8" t="s">
        <v>1217</v>
      </c>
      <c r="B639" s="8" t="s">
        <v>953</v>
      </c>
      <c r="C639" s="8" t="s">
        <v>566</v>
      </c>
      <c r="D639" s="29">
        <v>2019.2</v>
      </c>
      <c r="E639" s="29">
        <v>2023.2</v>
      </c>
      <c r="F639" s="29">
        <v>4</v>
      </c>
    </row>
    <row r="640" spans="1:6" ht="15" customHeight="1" x14ac:dyDescent="0.2">
      <c r="A640" s="8" t="s">
        <v>1218</v>
      </c>
      <c r="B640" s="8" t="s">
        <v>953</v>
      </c>
      <c r="C640" s="8" t="s">
        <v>566</v>
      </c>
      <c r="D640" s="29">
        <v>2019.2</v>
      </c>
      <c r="E640" s="29">
        <v>2023</v>
      </c>
      <c r="F640" s="29">
        <v>3.83</v>
      </c>
    </row>
    <row r="641" spans="1:6" ht="15" customHeight="1" x14ac:dyDescent="0.2">
      <c r="A641" s="8" t="s">
        <v>1219</v>
      </c>
      <c r="B641" s="8" t="s">
        <v>953</v>
      </c>
      <c r="C641" s="8" t="s">
        <v>566</v>
      </c>
      <c r="D641" s="29">
        <v>2019.2</v>
      </c>
      <c r="E641" s="29">
        <v>2024.3</v>
      </c>
      <c r="F641" s="29">
        <v>5.17</v>
      </c>
    </row>
    <row r="642" spans="1:6" ht="15" customHeight="1" x14ac:dyDescent="0.2">
      <c r="A642" s="8" t="s">
        <v>1220</v>
      </c>
      <c r="B642" s="8" t="s">
        <v>960</v>
      </c>
      <c r="C642" s="8" t="s">
        <v>566</v>
      </c>
      <c r="D642" s="29">
        <v>2019.1</v>
      </c>
      <c r="E642" s="29">
        <v>2024.8</v>
      </c>
      <c r="F642" s="29">
        <v>5.75</v>
      </c>
    </row>
    <row r="643" spans="1:6" ht="15" customHeight="1" x14ac:dyDescent="0.2">
      <c r="A643" s="8" t="s">
        <v>1221</v>
      </c>
      <c r="B643" s="8" t="s">
        <v>980</v>
      </c>
      <c r="C643" s="8" t="s">
        <v>566</v>
      </c>
      <c r="D643" s="29">
        <v>2019.2</v>
      </c>
      <c r="E643" s="29">
        <v>2020.7</v>
      </c>
      <c r="F643" s="29">
        <v>1.5</v>
      </c>
    </row>
    <row r="644" spans="1:6" ht="15" customHeight="1" x14ac:dyDescent="0.2">
      <c r="A644" s="8" t="s">
        <v>1222</v>
      </c>
      <c r="B644" s="8" t="s">
        <v>960</v>
      </c>
      <c r="C644" s="8" t="s">
        <v>566</v>
      </c>
      <c r="D644" s="29">
        <v>2019.2</v>
      </c>
      <c r="E644" s="29">
        <v>2025.6</v>
      </c>
      <c r="F644" s="29">
        <v>6.42</v>
      </c>
    </row>
    <row r="645" spans="1:6" ht="15" customHeight="1" x14ac:dyDescent="0.2">
      <c r="A645" s="8" t="s">
        <v>1223</v>
      </c>
      <c r="B645" s="8" t="s">
        <v>960</v>
      </c>
      <c r="C645" s="8" t="s">
        <v>566</v>
      </c>
      <c r="D645" s="29">
        <v>2019.2</v>
      </c>
      <c r="E645" s="29">
        <v>2025.9</v>
      </c>
      <c r="F645" s="29">
        <v>6.75</v>
      </c>
    </row>
    <row r="646" spans="1:6" ht="15" customHeight="1" x14ac:dyDescent="0.2">
      <c r="A646" s="8" t="s">
        <v>1224</v>
      </c>
      <c r="B646" s="8" t="s">
        <v>980</v>
      </c>
      <c r="C646" s="8" t="s">
        <v>562</v>
      </c>
      <c r="D646" s="29">
        <v>2019.2</v>
      </c>
      <c r="E646" s="29">
        <v>2023.6</v>
      </c>
      <c r="F646" s="29">
        <v>4.42</v>
      </c>
    </row>
    <row r="647" spans="1:6" ht="15" customHeight="1" x14ac:dyDescent="0.2">
      <c r="A647" s="8" t="s">
        <v>1225</v>
      </c>
      <c r="B647" s="8" t="s">
        <v>980</v>
      </c>
      <c r="C647" s="8" t="s">
        <v>562</v>
      </c>
      <c r="D647" s="29">
        <v>2019.2</v>
      </c>
      <c r="E647" s="29">
        <v>2020.6</v>
      </c>
      <c r="F647" s="29">
        <v>1.42</v>
      </c>
    </row>
    <row r="648" spans="1:6" ht="15" customHeight="1" x14ac:dyDescent="0.2">
      <c r="A648" s="8" t="s">
        <v>1226</v>
      </c>
      <c r="B648" s="8" t="s">
        <v>960</v>
      </c>
      <c r="C648" s="8" t="s">
        <v>566</v>
      </c>
      <c r="D648" s="29">
        <v>2019.2</v>
      </c>
      <c r="E648" s="29">
        <v>2025.1</v>
      </c>
      <c r="F648" s="29">
        <v>5.92</v>
      </c>
    </row>
    <row r="649" spans="1:6" ht="15" customHeight="1" x14ac:dyDescent="0.2">
      <c r="A649" s="8" t="s">
        <v>1227</v>
      </c>
      <c r="B649" s="8" t="s">
        <v>953</v>
      </c>
      <c r="C649" s="8" t="s">
        <v>566</v>
      </c>
      <c r="D649" s="29">
        <v>2019.2</v>
      </c>
      <c r="E649" s="29">
        <v>2023.8</v>
      </c>
      <c r="F649" s="29">
        <v>4.67</v>
      </c>
    </row>
    <row r="650" spans="1:6" ht="15" customHeight="1" x14ac:dyDescent="0.2">
      <c r="A650" s="8" t="s">
        <v>1228</v>
      </c>
      <c r="B650" s="8" t="s">
        <v>980</v>
      </c>
      <c r="C650" s="8" t="s">
        <v>566</v>
      </c>
      <c r="D650" s="29">
        <v>2019.2</v>
      </c>
      <c r="E650" s="29">
        <v>2024.9</v>
      </c>
      <c r="F650" s="29">
        <v>5.75</v>
      </c>
    </row>
    <row r="651" spans="1:6" ht="15" customHeight="1" x14ac:dyDescent="0.2">
      <c r="A651" s="8" t="s">
        <v>1229</v>
      </c>
      <c r="B651" s="8" t="s">
        <v>655</v>
      </c>
      <c r="C651" s="8" t="s">
        <v>566</v>
      </c>
      <c r="D651" s="29">
        <v>2019.2</v>
      </c>
      <c r="E651" s="29">
        <v>2023.5</v>
      </c>
      <c r="F651" s="29">
        <v>4.33</v>
      </c>
    </row>
    <row r="652" spans="1:6" ht="15" customHeight="1" x14ac:dyDescent="0.2">
      <c r="A652" s="8" t="s">
        <v>1230</v>
      </c>
      <c r="B652" s="8" t="s">
        <v>1047</v>
      </c>
      <c r="C652" s="8" t="s">
        <v>566</v>
      </c>
      <c r="D652" s="29">
        <v>2019.2</v>
      </c>
      <c r="E652" s="29">
        <v>2022.8</v>
      </c>
      <c r="F652" s="29">
        <v>3.58</v>
      </c>
    </row>
    <row r="653" spans="1:6" ht="15" customHeight="1" x14ac:dyDescent="0.2">
      <c r="A653" s="8" t="s">
        <v>1231</v>
      </c>
      <c r="B653" s="8" t="s">
        <v>932</v>
      </c>
      <c r="C653" s="8" t="s">
        <v>566</v>
      </c>
      <c r="D653" s="29">
        <v>2019.2</v>
      </c>
      <c r="E653" s="29">
        <v>2019.7</v>
      </c>
      <c r="F653" s="29">
        <v>0.5</v>
      </c>
    </row>
    <row r="654" spans="1:6" ht="15" customHeight="1" x14ac:dyDescent="0.2">
      <c r="A654" s="8" t="s">
        <v>1232</v>
      </c>
      <c r="B654" s="8" t="s">
        <v>960</v>
      </c>
      <c r="C654" s="8" t="s">
        <v>566</v>
      </c>
      <c r="D654" s="29">
        <v>2019.2</v>
      </c>
      <c r="E654" s="29">
        <v>2024</v>
      </c>
      <c r="F654" s="29">
        <v>4.83</v>
      </c>
    </row>
    <row r="655" spans="1:6" ht="15" customHeight="1" x14ac:dyDescent="0.2">
      <c r="A655" s="8" t="s">
        <v>1233</v>
      </c>
      <c r="B655" s="8" t="s">
        <v>808</v>
      </c>
      <c r="C655" s="8" t="s">
        <v>566</v>
      </c>
      <c r="D655" s="29">
        <v>2019.2</v>
      </c>
      <c r="E655" s="29">
        <v>2022.9</v>
      </c>
      <c r="F655" s="29">
        <v>3.75</v>
      </c>
    </row>
    <row r="656" spans="1:6" ht="15" customHeight="1" x14ac:dyDescent="0.2">
      <c r="A656" s="8" t="s">
        <v>1234</v>
      </c>
      <c r="B656" s="8" t="s">
        <v>958</v>
      </c>
      <c r="C656" s="8" t="s">
        <v>566</v>
      </c>
      <c r="D656" s="29">
        <v>2019.2</v>
      </c>
      <c r="E656" s="29">
        <v>2024.2</v>
      </c>
      <c r="F656" s="29">
        <v>4.92</v>
      </c>
    </row>
    <row r="657" spans="1:6" ht="15" customHeight="1" x14ac:dyDescent="0.2">
      <c r="A657" s="8" t="s">
        <v>1235</v>
      </c>
      <c r="B657" s="8" t="s">
        <v>960</v>
      </c>
      <c r="C657" s="8" t="s">
        <v>562</v>
      </c>
      <c r="D657" s="29">
        <v>2019.2</v>
      </c>
      <c r="E657" s="29">
        <v>2022.2</v>
      </c>
      <c r="F657" s="29">
        <v>3.08</v>
      </c>
    </row>
    <row r="658" spans="1:6" ht="15" customHeight="1" x14ac:dyDescent="0.2">
      <c r="A658" s="8" t="s">
        <v>1236</v>
      </c>
      <c r="B658" s="8" t="s">
        <v>655</v>
      </c>
      <c r="C658" s="8" t="s">
        <v>566</v>
      </c>
      <c r="D658" s="29">
        <v>2019.2</v>
      </c>
      <c r="E658" s="29">
        <v>2023.5</v>
      </c>
      <c r="F658" s="29">
        <v>4.33</v>
      </c>
    </row>
    <row r="659" spans="1:6" ht="15" customHeight="1" x14ac:dyDescent="0.2">
      <c r="A659" s="8" t="s">
        <v>1237</v>
      </c>
      <c r="B659" s="8" t="s">
        <v>953</v>
      </c>
      <c r="C659" s="8" t="s">
        <v>566</v>
      </c>
      <c r="D659" s="29">
        <v>2019.2</v>
      </c>
      <c r="E659" s="29">
        <v>2025</v>
      </c>
      <c r="F659" s="29">
        <v>5.75</v>
      </c>
    </row>
    <row r="660" spans="1:6" ht="15" customHeight="1" x14ac:dyDescent="0.2">
      <c r="A660" s="8" t="s">
        <v>1238</v>
      </c>
      <c r="B660" s="8" t="s">
        <v>932</v>
      </c>
      <c r="C660" s="8" t="s">
        <v>564</v>
      </c>
      <c r="D660" s="29">
        <v>2019.2</v>
      </c>
      <c r="E660" s="29">
        <v>2024.9</v>
      </c>
      <c r="F660" s="29">
        <v>5.67</v>
      </c>
    </row>
    <row r="661" spans="1:6" ht="15" customHeight="1" x14ac:dyDescent="0.2">
      <c r="A661" s="8" t="s">
        <v>1239</v>
      </c>
      <c r="B661" s="8" t="s">
        <v>953</v>
      </c>
      <c r="C661" s="8" t="s">
        <v>566</v>
      </c>
      <c r="D661" s="29">
        <v>2019.2</v>
      </c>
      <c r="E661" s="29">
        <v>2024.8</v>
      </c>
      <c r="F661" s="29">
        <v>5.5</v>
      </c>
    </row>
    <row r="662" spans="1:6" ht="15" customHeight="1" x14ac:dyDescent="0.2">
      <c r="A662" s="8" t="s">
        <v>1240</v>
      </c>
      <c r="B662" s="8" t="s">
        <v>953</v>
      </c>
      <c r="C662" s="8" t="s">
        <v>566</v>
      </c>
      <c r="D662" s="29">
        <v>2019.2</v>
      </c>
      <c r="E662" s="29">
        <v>2024.9</v>
      </c>
      <c r="F662" s="29">
        <v>5.67</v>
      </c>
    </row>
    <row r="663" spans="1:6" ht="15" customHeight="1" x14ac:dyDescent="0.2">
      <c r="A663" s="8" t="s">
        <v>1241</v>
      </c>
      <c r="B663" s="8" t="s">
        <v>980</v>
      </c>
      <c r="C663" s="8" t="s">
        <v>566</v>
      </c>
      <c r="D663" s="29">
        <v>2019.3</v>
      </c>
      <c r="E663" s="29">
        <v>2023</v>
      </c>
      <c r="F663" s="29">
        <v>3.67</v>
      </c>
    </row>
    <row r="664" spans="1:6" ht="15" customHeight="1" x14ac:dyDescent="0.2">
      <c r="A664" s="8" t="s">
        <v>1242</v>
      </c>
      <c r="B664" s="8" t="s">
        <v>953</v>
      </c>
      <c r="C664" s="8" t="s">
        <v>566</v>
      </c>
      <c r="D664" s="29">
        <v>2019.4</v>
      </c>
      <c r="E664" s="29">
        <v>2024.9</v>
      </c>
      <c r="F664" s="29">
        <v>5.5</v>
      </c>
    </row>
    <row r="665" spans="1:6" ht="15" customHeight="1" x14ac:dyDescent="0.2">
      <c r="A665" s="8" t="s">
        <v>1243</v>
      </c>
      <c r="B665" s="8" t="s">
        <v>932</v>
      </c>
      <c r="C665" s="8" t="s">
        <v>566</v>
      </c>
      <c r="D665" s="29">
        <v>2019.4</v>
      </c>
      <c r="E665" s="29">
        <v>2020.3</v>
      </c>
      <c r="F665" s="29">
        <v>0.92</v>
      </c>
    </row>
    <row r="666" spans="1:6" ht="15" customHeight="1" x14ac:dyDescent="0.2">
      <c r="A666" s="8" t="s">
        <v>1244</v>
      </c>
      <c r="B666" s="8" t="s">
        <v>960</v>
      </c>
      <c r="C666" s="8" t="s">
        <v>796</v>
      </c>
      <c r="D666" s="29">
        <v>2019.5</v>
      </c>
      <c r="E666" s="29">
        <v>2025.3</v>
      </c>
      <c r="F666" s="29">
        <v>5.83</v>
      </c>
    </row>
    <row r="667" spans="1:6" ht="15" customHeight="1" x14ac:dyDescent="0.2">
      <c r="A667" s="8" t="s">
        <v>1245</v>
      </c>
      <c r="B667" s="8" t="s">
        <v>980</v>
      </c>
      <c r="C667" s="8" t="s">
        <v>566</v>
      </c>
      <c r="D667" s="29">
        <v>2019.6</v>
      </c>
      <c r="E667" s="29">
        <v>2023.2</v>
      </c>
      <c r="F667" s="29">
        <v>3.58</v>
      </c>
    </row>
    <row r="668" spans="1:6" ht="15" customHeight="1" x14ac:dyDescent="0.2">
      <c r="A668" s="8" t="s">
        <v>1246</v>
      </c>
      <c r="B668" s="8" t="s">
        <v>960</v>
      </c>
      <c r="C668" s="8" t="s">
        <v>566</v>
      </c>
      <c r="D668" s="29">
        <v>2019.6</v>
      </c>
      <c r="E668" s="29">
        <v>2025.1</v>
      </c>
      <c r="F668" s="29">
        <v>5.5</v>
      </c>
    </row>
    <row r="669" spans="1:6" ht="15" customHeight="1" x14ac:dyDescent="0.2">
      <c r="A669" s="8" t="s">
        <v>1247</v>
      </c>
      <c r="B669" s="8" t="s">
        <v>960</v>
      </c>
      <c r="C669" s="8" t="s">
        <v>566</v>
      </c>
      <c r="D669" s="29">
        <v>2019.6</v>
      </c>
      <c r="E669" s="29">
        <v>2024</v>
      </c>
      <c r="F669" s="29">
        <v>4.42</v>
      </c>
    </row>
    <row r="670" spans="1:6" ht="15" customHeight="1" x14ac:dyDescent="0.2">
      <c r="A670" s="8" t="s">
        <v>1248</v>
      </c>
      <c r="B670" s="8" t="s">
        <v>953</v>
      </c>
      <c r="C670" s="8" t="s">
        <v>562</v>
      </c>
      <c r="D670" s="29">
        <v>2019.7</v>
      </c>
      <c r="E670" s="29">
        <v>2021.8</v>
      </c>
      <c r="F670" s="29">
        <v>2.08</v>
      </c>
    </row>
    <row r="671" spans="1:6" ht="15" customHeight="1" x14ac:dyDescent="0.2">
      <c r="A671" s="8" t="s">
        <v>1249</v>
      </c>
      <c r="B671" s="8" t="s">
        <v>808</v>
      </c>
      <c r="C671" s="8" t="s">
        <v>566</v>
      </c>
      <c r="D671" s="29">
        <v>2019.7</v>
      </c>
      <c r="E671" s="29">
        <v>2025.6</v>
      </c>
      <c r="F671" s="29">
        <v>5.92</v>
      </c>
    </row>
    <row r="672" spans="1:6" ht="15" customHeight="1" x14ac:dyDescent="0.2">
      <c r="A672" s="8" t="s">
        <v>1250</v>
      </c>
      <c r="B672" s="8" t="s">
        <v>953</v>
      </c>
      <c r="C672" s="8" t="s">
        <v>562</v>
      </c>
      <c r="D672" s="29">
        <v>2019.7</v>
      </c>
      <c r="E672" s="29">
        <v>2020.5</v>
      </c>
      <c r="F672" s="29">
        <v>0.83</v>
      </c>
    </row>
    <row r="673" spans="1:6" ht="15" customHeight="1" x14ac:dyDescent="0.2">
      <c r="A673" s="8" t="s">
        <v>1251</v>
      </c>
      <c r="B673" s="8" t="s">
        <v>953</v>
      </c>
      <c r="C673" s="8" t="s">
        <v>1252</v>
      </c>
      <c r="D673" s="29">
        <v>2019.7</v>
      </c>
      <c r="E673" s="29">
        <v>2020.5</v>
      </c>
      <c r="F673" s="29">
        <v>0.83</v>
      </c>
    </row>
    <row r="674" spans="1:6" ht="15" customHeight="1" x14ac:dyDescent="0.2">
      <c r="A674" s="8" t="s">
        <v>1253</v>
      </c>
      <c r="B674" s="8" t="s">
        <v>953</v>
      </c>
      <c r="C674" s="8" t="s">
        <v>1252</v>
      </c>
      <c r="D674" s="29">
        <v>2019.7</v>
      </c>
      <c r="E674" s="29">
        <v>2020.5</v>
      </c>
      <c r="F674" s="29">
        <v>0.83</v>
      </c>
    </row>
    <row r="675" spans="1:6" ht="15" customHeight="1" x14ac:dyDescent="0.2">
      <c r="A675" s="8" t="s">
        <v>1254</v>
      </c>
      <c r="B675" s="8" t="s">
        <v>953</v>
      </c>
      <c r="C675" s="8" t="s">
        <v>1252</v>
      </c>
      <c r="D675" s="29">
        <v>2019.7</v>
      </c>
      <c r="E675" s="29">
        <v>2020.5</v>
      </c>
      <c r="F675" s="29">
        <v>0.83</v>
      </c>
    </row>
    <row r="676" spans="1:6" ht="15" customHeight="1" x14ac:dyDescent="0.2">
      <c r="A676" s="8" t="s">
        <v>1255</v>
      </c>
      <c r="B676" s="8" t="s">
        <v>953</v>
      </c>
      <c r="C676" s="8" t="s">
        <v>562</v>
      </c>
      <c r="D676" s="29">
        <v>2019.7</v>
      </c>
      <c r="E676" s="29">
        <v>2020.5</v>
      </c>
      <c r="F676" s="29">
        <v>0.83</v>
      </c>
    </row>
    <row r="677" spans="1:6" ht="15" customHeight="1" x14ac:dyDescent="0.2">
      <c r="A677" s="8" t="s">
        <v>1256</v>
      </c>
      <c r="B677" s="8" t="s">
        <v>953</v>
      </c>
      <c r="C677" s="8" t="s">
        <v>562</v>
      </c>
      <c r="D677" s="29">
        <v>2019.7</v>
      </c>
      <c r="E677" s="29">
        <v>2020.5</v>
      </c>
      <c r="F677" s="29">
        <v>0.83</v>
      </c>
    </row>
    <row r="678" spans="1:6" ht="15" customHeight="1" x14ac:dyDescent="0.2">
      <c r="A678" s="8" t="s">
        <v>1257</v>
      </c>
      <c r="B678" s="8" t="s">
        <v>953</v>
      </c>
      <c r="C678" s="8" t="s">
        <v>562</v>
      </c>
      <c r="D678" s="29">
        <v>2019.7</v>
      </c>
      <c r="E678" s="29">
        <v>2020.5</v>
      </c>
      <c r="F678" s="29">
        <v>0.83</v>
      </c>
    </row>
    <row r="679" spans="1:6" ht="15" customHeight="1" x14ac:dyDescent="0.2">
      <c r="A679" s="8" t="s">
        <v>1258</v>
      </c>
      <c r="B679" s="8" t="s">
        <v>953</v>
      </c>
      <c r="C679" s="8" t="s">
        <v>1252</v>
      </c>
      <c r="D679" s="29">
        <v>2019.7</v>
      </c>
      <c r="E679" s="29">
        <v>2020.5</v>
      </c>
      <c r="F679" s="29">
        <v>0.83</v>
      </c>
    </row>
    <row r="680" spans="1:6" ht="15" customHeight="1" x14ac:dyDescent="0.2">
      <c r="A680" s="8" t="s">
        <v>1259</v>
      </c>
      <c r="B680" s="8" t="s">
        <v>932</v>
      </c>
      <c r="C680" s="8" t="s">
        <v>562</v>
      </c>
      <c r="D680" s="29">
        <v>2019.7</v>
      </c>
      <c r="E680" s="29">
        <v>2020.2</v>
      </c>
      <c r="F680" s="29">
        <v>0.5</v>
      </c>
    </row>
    <row r="681" spans="1:6" ht="15" customHeight="1" x14ac:dyDescent="0.2">
      <c r="A681" s="8" t="s">
        <v>1260</v>
      </c>
      <c r="B681" s="8" t="s">
        <v>953</v>
      </c>
      <c r="C681" s="8" t="s">
        <v>562</v>
      </c>
      <c r="D681" s="29">
        <v>2019.7</v>
      </c>
      <c r="E681" s="29">
        <v>2020.5</v>
      </c>
      <c r="F681" s="29">
        <v>0.83</v>
      </c>
    </row>
    <row r="682" spans="1:6" ht="15" customHeight="1" x14ac:dyDescent="0.2">
      <c r="A682" s="8" t="s">
        <v>1261</v>
      </c>
      <c r="B682" s="8" t="s">
        <v>953</v>
      </c>
      <c r="C682" s="8" t="s">
        <v>562</v>
      </c>
      <c r="D682" s="29">
        <v>2019.7</v>
      </c>
      <c r="E682" s="29">
        <v>2020.5</v>
      </c>
      <c r="F682" s="29">
        <v>0.83</v>
      </c>
    </row>
    <row r="683" spans="1:6" ht="15" customHeight="1" x14ac:dyDescent="0.2">
      <c r="A683" s="8" t="s">
        <v>1262</v>
      </c>
      <c r="B683" s="8" t="s">
        <v>953</v>
      </c>
      <c r="C683" s="8" t="s">
        <v>1252</v>
      </c>
      <c r="D683" s="29">
        <v>2019.7</v>
      </c>
      <c r="E683" s="29">
        <v>2020.5</v>
      </c>
      <c r="F683" s="29">
        <v>0.83</v>
      </c>
    </row>
    <row r="684" spans="1:6" ht="15" customHeight="1" x14ac:dyDescent="0.2">
      <c r="A684" s="8" t="s">
        <v>1263</v>
      </c>
      <c r="B684" s="8" t="s">
        <v>960</v>
      </c>
      <c r="C684" s="8" t="s">
        <v>1252</v>
      </c>
      <c r="D684" s="29">
        <v>2019.7</v>
      </c>
      <c r="E684" s="29">
        <v>2020.5</v>
      </c>
      <c r="F684" s="29">
        <v>0.83</v>
      </c>
    </row>
    <row r="685" spans="1:6" ht="15" customHeight="1" x14ac:dyDescent="0.2">
      <c r="A685" s="8" t="s">
        <v>1264</v>
      </c>
      <c r="B685" s="8" t="s">
        <v>953</v>
      </c>
      <c r="C685" s="8" t="s">
        <v>562</v>
      </c>
      <c r="D685" s="29">
        <v>2019.7</v>
      </c>
      <c r="E685" s="29">
        <v>2020.5</v>
      </c>
      <c r="F685" s="29">
        <v>0.83</v>
      </c>
    </row>
    <row r="686" spans="1:6" ht="15" customHeight="1" x14ac:dyDescent="0.2">
      <c r="A686" s="8" t="s">
        <v>1265</v>
      </c>
      <c r="B686" s="8" t="s">
        <v>953</v>
      </c>
      <c r="C686" s="8" t="s">
        <v>562</v>
      </c>
      <c r="D686" s="29">
        <v>2019.7</v>
      </c>
      <c r="E686" s="29">
        <v>2020.5</v>
      </c>
      <c r="F686" s="29">
        <v>0.83</v>
      </c>
    </row>
    <row r="687" spans="1:6" ht="15" customHeight="1" x14ac:dyDescent="0.2">
      <c r="A687" s="8" t="s">
        <v>1266</v>
      </c>
      <c r="B687" s="8" t="s">
        <v>953</v>
      </c>
      <c r="C687" s="8" t="s">
        <v>562</v>
      </c>
      <c r="D687" s="29">
        <v>2019.7</v>
      </c>
      <c r="E687" s="29">
        <v>2020.5</v>
      </c>
      <c r="F687" s="29">
        <v>0.83</v>
      </c>
    </row>
    <row r="688" spans="1:6" ht="15" customHeight="1" x14ac:dyDescent="0.2">
      <c r="A688" s="8" t="s">
        <v>1267</v>
      </c>
      <c r="B688" s="8" t="s">
        <v>953</v>
      </c>
      <c r="C688" s="8" t="s">
        <v>562</v>
      </c>
      <c r="D688" s="29">
        <v>2019.7</v>
      </c>
      <c r="E688" s="29">
        <v>2020.5</v>
      </c>
      <c r="F688" s="29">
        <v>0.83</v>
      </c>
    </row>
    <row r="689" spans="1:6" ht="15" customHeight="1" x14ac:dyDescent="0.2">
      <c r="A689" s="8" t="s">
        <v>1268</v>
      </c>
      <c r="B689" s="8" t="s">
        <v>953</v>
      </c>
      <c r="C689" s="8" t="s">
        <v>1252</v>
      </c>
      <c r="D689" s="29">
        <v>2019.7</v>
      </c>
      <c r="E689" s="29">
        <v>2020.5</v>
      </c>
      <c r="F689" s="29">
        <v>0.83</v>
      </c>
    </row>
    <row r="690" spans="1:6" ht="15" customHeight="1" x14ac:dyDescent="0.2">
      <c r="A690" s="8" t="s">
        <v>1269</v>
      </c>
      <c r="B690" s="8" t="s">
        <v>953</v>
      </c>
      <c r="C690" s="8" t="s">
        <v>562</v>
      </c>
      <c r="D690" s="29">
        <v>2019.7</v>
      </c>
      <c r="E690" s="29">
        <v>2020.5</v>
      </c>
      <c r="F690" s="29">
        <v>0.83</v>
      </c>
    </row>
    <row r="691" spans="1:6" ht="15" customHeight="1" x14ac:dyDescent="0.2">
      <c r="A691" s="8" t="s">
        <v>1270</v>
      </c>
      <c r="B691" s="8" t="s">
        <v>960</v>
      </c>
      <c r="C691" s="8" t="s">
        <v>1252</v>
      </c>
      <c r="D691" s="29">
        <v>2019.7</v>
      </c>
      <c r="E691" s="29">
        <v>2020.5</v>
      </c>
      <c r="F691" s="29">
        <v>0.83</v>
      </c>
    </row>
    <row r="692" spans="1:6" ht="15" customHeight="1" x14ac:dyDescent="0.2">
      <c r="A692" s="8" t="s">
        <v>1271</v>
      </c>
      <c r="B692" s="8" t="s">
        <v>1047</v>
      </c>
      <c r="C692" s="8" t="s">
        <v>566</v>
      </c>
      <c r="D692" s="29">
        <v>2019.7</v>
      </c>
      <c r="E692" s="29">
        <v>2024.4</v>
      </c>
      <c r="F692" s="29">
        <v>4.75</v>
      </c>
    </row>
    <row r="693" spans="1:6" ht="15" customHeight="1" x14ac:dyDescent="0.2">
      <c r="A693" s="8" t="s">
        <v>1272</v>
      </c>
      <c r="B693" s="8" t="s">
        <v>808</v>
      </c>
      <c r="C693" s="8" t="s">
        <v>566</v>
      </c>
      <c r="D693" s="29">
        <v>2019.7</v>
      </c>
      <c r="E693" s="29">
        <v>2024.8</v>
      </c>
      <c r="F693" s="29">
        <v>5.17</v>
      </c>
    </row>
    <row r="694" spans="1:6" ht="15" customHeight="1" x14ac:dyDescent="0.2">
      <c r="A694" s="8" t="s">
        <v>1273</v>
      </c>
      <c r="B694" s="8" t="s">
        <v>960</v>
      </c>
      <c r="C694" s="8" t="s">
        <v>566</v>
      </c>
      <c r="D694" s="29">
        <v>2019.7</v>
      </c>
      <c r="E694" s="29">
        <v>2024.8</v>
      </c>
      <c r="F694" s="29">
        <v>5.17</v>
      </c>
    </row>
    <row r="695" spans="1:6" ht="15" customHeight="1" x14ac:dyDescent="0.2">
      <c r="A695" s="8" t="s">
        <v>1274</v>
      </c>
      <c r="B695" s="8" t="s">
        <v>960</v>
      </c>
      <c r="C695" s="8" t="s">
        <v>566</v>
      </c>
      <c r="D695" s="29">
        <v>2019.8</v>
      </c>
      <c r="E695" s="29">
        <v>2024.9</v>
      </c>
      <c r="F695" s="29">
        <v>5.17</v>
      </c>
    </row>
    <row r="696" spans="1:6" ht="15" customHeight="1" x14ac:dyDescent="0.2">
      <c r="A696" s="8" t="s">
        <v>1275</v>
      </c>
      <c r="B696" s="8" t="s">
        <v>996</v>
      </c>
      <c r="C696" s="8" t="s">
        <v>566</v>
      </c>
      <c r="D696" s="29">
        <v>2019.8</v>
      </c>
      <c r="E696" s="29">
        <v>2024.2</v>
      </c>
      <c r="F696" s="29">
        <v>4.42</v>
      </c>
    </row>
    <row r="697" spans="1:6" ht="15" customHeight="1" x14ac:dyDescent="0.2">
      <c r="A697" s="8" t="s">
        <v>1276</v>
      </c>
      <c r="B697" s="8" t="s">
        <v>980</v>
      </c>
      <c r="C697" s="8" t="s">
        <v>566</v>
      </c>
      <c r="D697" s="29">
        <v>2019.8</v>
      </c>
      <c r="E697" s="29">
        <v>2024.9</v>
      </c>
      <c r="F697" s="29">
        <v>5.17</v>
      </c>
    </row>
    <row r="698" spans="1:6" ht="15" customHeight="1" x14ac:dyDescent="0.2">
      <c r="A698" s="8" t="s">
        <v>1277</v>
      </c>
      <c r="B698" s="8" t="s">
        <v>958</v>
      </c>
      <c r="C698" s="8" t="s">
        <v>566</v>
      </c>
      <c r="D698" s="29">
        <v>2019.7</v>
      </c>
      <c r="E698" s="29">
        <v>2025.3</v>
      </c>
      <c r="F698" s="29">
        <v>5.67</v>
      </c>
    </row>
    <row r="699" spans="1:6" ht="15" customHeight="1" x14ac:dyDescent="0.2">
      <c r="A699" s="8" t="s">
        <v>1278</v>
      </c>
      <c r="B699" s="8" t="s">
        <v>958</v>
      </c>
      <c r="C699" s="8" t="s">
        <v>566</v>
      </c>
      <c r="D699" s="29">
        <v>2019.7</v>
      </c>
      <c r="E699" s="29">
        <v>2025.3</v>
      </c>
      <c r="F699" s="29">
        <v>5.67</v>
      </c>
    </row>
    <row r="700" spans="1:6" ht="15" customHeight="1" x14ac:dyDescent="0.2">
      <c r="A700" s="8" t="s">
        <v>1279</v>
      </c>
      <c r="B700" s="8" t="s">
        <v>980</v>
      </c>
      <c r="C700" s="8" t="s">
        <v>566</v>
      </c>
      <c r="D700" s="29">
        <v>2019.9</v>
      </c>
      <c r="E700" s="29">
        <v>2023.4</v>
      </c>
      <c r="F700" s="29">
        <v>3.5</v>
      </c>
    </row>
    <row r="701" spans="1:6" ht="15" customHeight="1" x14ac:dyDescent="0.2">
      <c r="A701" s="8" t="s">
        <v>1280</v>
      </c>
      <c r="B701" s="8" t="s">
        <v>980</v>
      </c>
      <c r="C701" s="8" t="s">
        <v>566</v>
      </c>
      <c r="D701" s="29">
        <v>2020</v>
      </c>
      <c r="E701" s="29">
        <v>2025.2</v>
      </c>
      <c r="F701" s="29">
        <v>5.25</v>
      </c>
    </row>
    <row r="702" spans="1:6" ht="15" customHeight="1" x14ac:dyDescent="0.2">
      <c r="A702" s="8" t="s">
        <v>1281</v>
      </c>
      <c r="B702" s="8" t="s">
        <v>980</v>
      </c>
      <c r="C702" s="8" t="s">
        <v>566</v>
      </c>
      <c r="D702" s="29">
        <v>2020.1</v>
      </c>
      <c r="E702" s="29">
        <v>2024.9</v>
      </c>
      <c r="F702" s="29">
        <v>4.83</v>
      </c>
    </row>
    <row r="703" spans="1:6" ht="15" customHeight="1" x14ac:dyDescent="0.2">
      <c r="A703" s="8" t="s">
        <v>1282</v>
      </c>
      <c r="B703" s="8" t="s">
        <v>980</v>
      </c>
      <c r="C703" s="8" t="s">
        <v>566</v>
      </c>
      <c r="D703" s="29">
        <v>2020.1</v>
      </c>
      <c r="E703" s="29">
        <v>2024.4</v>
      </c>
      <c r="F703" s="29">
        <v>4.33</v>
      </c>
    </row>
    <row r="704" spans="1:6" ht="15" customHeight="1" x14ac:dyDescent="0.2">
      <c r="A704" s="8" t="s">
        <v>1283</v>
      </c>
      <c r="B704" s="8" t="s">
        <v>980</v>
      </c>
      <c r="C704" s="8" t="s">
        <v>564</v>
      </c>
      <c r="D704" s="29">
        <v>2020.1</v>
      </c>
      <c r="E704" s="29">
        <v>2023.8</v>
      </c>
      <c r="F704" s="29">
        <v>3.75</v>
      </c>
    </row>
    <row r="705" spans="1:6" ht="15" customHeight="1" x14ac:dyDescent="0.2">
      <c r="A705" s="8" t="s">
        <v>1284</v>
      </c>
      <c r="B705" s="8" t="s">
        <v>960</v>
      </c>
      <c r="C705" s="8" t="s">
        <v>761</v>
      </c>
      <c r="D705" s="29">
        <v>2020.2</v>
      </c>
      <c r="E705" s="29">
        <v>2021.4</v>
      </c>
      <c r="F705" s="29">
        <v>1.25</v>
      </c>
    </row>
    <row r="706" spans="1:6" ht="15" customHeight="1" x14ac:dyDescent="0.2">
      <c r="A706" s="8" t="s">
        <v>1285</v>
      </c>
      <c r="B706" s="8" t="s">
        <v>953</v>
      </c>
      <c r="C706" s="8" t="s">
        <v>566</v>
      </c>
      <c r="D706" s="29">
        <v>2020.2</v>
      </c>
      <c r="E706" s="29">
        <v>2025.3</v>
      </c>
      <c r="F706" s="29">
        <v>5.17</v>
      </c>
    </row>
    <row r="707" spans="1:6" ht="15" customHeight="1" x14ac:dyDescent="0.2">
      <c r="A707" s="8" t="s">
        <v>1286</v>
      </c>
      <c r="B707" s="8" t="s">
        <v>808</v>
      </c>
      <c r="C707" s="8" t="s">
        <v>566</v>
      </c>
      <c r="D707" s="29">
        <v>2020.2</v>
      </c>
      <c r="E707" s="29">
        <v>2024.8</v>
      </c>
      <c r="F707" s="29">
        <v>4.58</v>
      </c>
    </row>
    <row r="708" spans="1:6" ht="15" customHeight="1" x14ac:dyDescent="0.2">
      <c r="A708" s="8" t="s">
        <v>1287</v>
      </c>
      <c r="B708" s="8" t="s">
        <v>932</v>
      </c>
      <c r="C708" s="8" t="s">
        <v>566</v>
      </c>
      <c r="D708" s="29">
        <v>2020.2</v>
      </c>
      <c r="E708" s="29">
        <v>2023.2</v>
      </c>
      <c r="F708" s="29">
        <v>3</v>
      </c>
    </row>
    <row r="709" spans="1:6" ht="15" customHeight="1" x14ac:dyDescent="0.2">
      <c r="A709" s="8" t="s">
        <v>1288</v>
      </c>
      <c r="B709" s="8" t="s">
        <v>932</v>
      </c>
      <c r="C709" s="8" t="s">
        <v>566</v>
      </c>
      <c r="D709" s="29">
        <v>2020.2</v>
      </c>
      <c r="E709" s="29">
        <v>2022.5</v>
      </c>
      <c r="F709" s="29">
        <v>2.33</v>
      </c>
    </row>
    <row r="710" spans="1:6" ht="15" customHeight="1" x14ac:dyDescent="0.2">
      <c r="A710" s="8" t="s">
        <v>1289</v>
      </c>
      <c r="B710" s="8" t="s">
        <v>980</v>
      </c>
      <c r="C710" s="8" t="s">
        <v>761</v>
      </c>
      <c r="D710" s="29">
        <v>2020.2</v>
      </c>
      <c r="E710" s="29">
        <v>2023.4</v>
      </c>
      <c r="F710" s="29">
        <v>3.25</v>
      </c>
    </row>
    <row r="711" spans="1:6" ht="15" customHeight="1" x14ac:dyDescent="0.2">
      <c r="A711" s="8" t="s">
        <v>1290</v>
      </c>
      <c r="B711" s="8" t="s">
        <v>958</v>
      </c>
      <c r="C711" s="8" t="s">
        <v>562</v>
      </c>
      <c r="D711" s="29">
        <v>2020.2</v>
      </c>
      <c r="E711" s="29">
        <v>2023.3</v>
      </c>
      <c r="F711" s="29">
        <v>3.17</v>
      </c>
    </row>
    <row r="712" spans="1:6" ht="15" customHeight="1" x14ac:dyDescent="0.2">
      <c r="A712" s="8" t="s">
        <v>1291</v>
      </c>
      <c r="B712" s="8" t="s">
        <v>958</v>
      </c>
      <c r="C712" s="8" t="s">
        <v>562</v>
      </c>
      <c r="D712" s="29">
        <v>2020.2</v>
      </c>
      <c r="E712" s="29">
        <v>2023.3</v>
      </c>
      <c r="F712" s="29">
        <v>3.17</v>
      </c>
    </row>
    <row r="713" spans="1:6" ht="15" customHeight="1" x14ac:dyDescent="0.2">
      <c r="A713" s="8" t="s">
        <v>1292</v>
      </c>
      <c r="B713" s="8" t="s">
        <v>953</v>
      </c>
      <c r="C713" s="8" t="s">
        <v>566</v>
      </c>
      <c r="D713" s="29">
        <v>2020.2</v>
      </c>
      <c r="E713" s="29">
        <v>2025.5</v>
      </c>
      <c r="F713" s="29">
        <v>5.33</v>
      </c>
    </row>
    <row r="714" spans="1:6" ht="15" customHeight="1" x14ac:dyDescent="0.2">
      <c r="A714" s="8" t="s">
        <v>1293</v>
      </c>
      <c r="B714" s="8" t="s">
        <v>932</v>
      </c>
      <c r="C714" s="8" t="s">
        <v>1294</v>
      </c>
      <c r="D714" s="29">
        <v>2020.2</v>
      </c>
      <c r="E714" s="29">
        <v>2022.2</v>
      </c>
      <c r="F714" s="29">
        <v>2</v>
      </c>
    </row>
    <row r="715" spans="1:6" ht="15" customHeight="1" x14ac:dyDescent="0.2">
      <c r="A715" s="8" t="s">
        <v>1295</v>
      </c>
      <c r="B715" s="8" t="s">
        <v>932</v>
      </c>
      <c r="C715" s="8" t="s">
        <v>566</v>
      </c>
      <c r="D715" s="29">
        <v>2020.2</v>
      </c>
      <c r="E715" s="29">
        <v>2022.2</v>
      </c>
      <c r="F715" s="29">
        <v>2</v>
      </c>
    </row>
    <row r="716" spans="1:6" ht="15" customHeight="1" x14ac:dyDescent="0.2">
      <c r="A716" s="8" t="s">
        <v>1296</v>
      </c>
      <c r="B716" s="8" t="s">
        <v>958</v>
      </c>
      <c r="C716" s="8" t="s">
        <v>566</v>
      </c>
      <c r="D716" s="29">
        <v>2020.2</v>
      </c>
      <c r="E716" s="29">
        <v>2022.8</v>
      </c>
      <c r="F716" s="29">
        <v>2.58</v>
      </c>
    </row>
    <row r="717" spans="1:6" ht="15" customHeight="1" x14ac:dyDescent="0.2">
      <c r="A717" s="8" t="s">
        <v>1297</v>
      </c>
      <c r="B717" s="8" t="s">
        <v>960</v>
      </c>
      <c r="C717" s="8" t="s">
        <v>562</v>
      </c>
      <c r="D717" s="29">
        <v>2020.2</v>
      </c>
      <c r="E717" s="29">
        <v>2023.1</v>
      </c>
      <c r="F717" s="29">
        <v>2.92</v>
      </c>
    </row>
    <row r="718" spans="1:6" ht="15" customHeight="1" x14ac:dyDescent="0.2">
      <c r="A718" s="8" t="s">
        <v>1298</v>
      </c>
      <c r="B718" s="8" t="s">
        <v>953</v>
      </c>
      <c r="C718" s="8" t="s">
        <v>562</v>
      </c>
      <c r="D718" s="29">
        <v>2020.2</v>
      </c>
      <c r="E718" s="29">
        <v>2021.2</v>
      </c>
      <c r="F718" s="29">
        <v>1</v>
      </c>
    </row>
    <row r="719" spans="1:6" ht="15" customHeight="1" x14ac:dyDescent="0.2">
      <c r="A719" s="8" t="s">
        <v>1299</v>
      </c>
      <c r="B719" s="8" t="s">
        <v>953</v>
      </c>
      <c r="C719" s="8" t="s">
        <v>562</v>
      </c>
      <c r="D719" s="29">
        <v>2020.2</v>
      </c>
      <c r="E719" s="29">
        <v>2021</v>
      </c>
      <c r="F719" s="29">
        <v>0.83</v>
      </c>
    </row>
    <row r="720" spans="1:6" ht="15" customHeight="1" x14ac:dyDescent="0.2">
      <c r="A720" s="8" t="s">
        <v>1300</v>
      </c>
      <c r="B720" s="8" t="s">
        <v>787</v>
      </c>
      <c r="C720" s="8" t="s">
        <v>564</v>
      </c>
      <c r="D720" s="29">
        <v>2020.5</v>
      </c>
      <c r="E720" s="29">
        <v>2021.9</v>
      </c>
      <c r="F720" s="29">
        <v>1.42</v>
      </c>
    </row>
    <row r="721" spans="1:6" ht="15" customHeight="1" x14ac:dyDescent="0.2">
      <c r="A721" s="8" t="s">
        <v>1301</v>
      </c>
      <c r="B721" s="8" t="s">
        <v>958</v>
      </c>
      <c r="C721" s="8" t="s">
        <v>564</v>
      </c>
      <c r="D721" s="29">
        <v>2020.5</v>
      </c>
      <c r="E721" s="29">
        <v>2024.7</v>
      </c>
      <c r="F721" s="29">
        <v>4.17</v>
      </c>
    </row>
    <row r="722" spans="1:6" ht="15" customHeight="1" x14ac:dyDescent="0.2">
      <c r="A722" s="8" t="s">
        <v>1302</v>
      </c>
      <c r="B722" s="8" t="s">
        <v>980</v>
      </c>
      <c r="C722" s="8" t="s">
        <v>566</v>
      </c>
      <c r="D722" s="29">
        <v>2020.7</v>
      </c>
      <c r="E722" s="29">
        <v>2023.8</v>
      </c>
      <c r="F722" s="29">
        <v>3.17</v>
      </c>
    </row>
    <row r="723" spans="1:6" ht="15" customHeight="1" x14ac:dyDescent="0.2">
      <c r="A723" s="8" t="s">
        <v>1303</v>
      </c>
      <c r="B723" s="8" t="s">
        <v>932</v>
      </c>
      <c r="C723" s="8" t="s">
        <v>562</v>
      </c>
      <c r="D723" s="29">
        <v>2020.7</v>
      </c>
      <c r="E723" s="29">
        <v>2024.2</v>
      </c>
      <c r="F723" s="29">
        <v>3.5</v>
      </c>
    </row>
    <row r="724" spans="1:6" ht="15" customHeight="1" x14ac:dyDescent="0.2">
      <c r="A724" s="8" t="s">
        <v>1304</v>
      </c>
      <c r="B724" s="8" t="s">
        <v>932</v>
      </c>
      <c r="C724" s="8" t="s">
        <v>566</v>
      </c>
      <c r="D724" s="29">
        <v>2020.8</v>
      </c>
      <c r="E724" s="29">
        <v>2025.2</v>
      </c>
      <c r="F724" s="29">
        <v>4.5</v>
      </c>
    </row>
    <row r="725" spans="1:6" ht="15" customHeight="1" x14ac:dyDescent="0.2">
      <c r="A725" s="8" t="s">
        <v>1305</v>
      </c>
      <c r="B725" s="8" t="s">
        <v>958</v>
      </c>
      <c r="C725" s="8" t="s">
        <v>566</v>
      </c>
      <c r="D725" s="29">
        <v>2020.8</v>
      </c>
      <c r="E725" s="29">
        <v>2024.8</v>
      </c>
      <c r="F725" s="29">
        <v>4</v>
      </c>
    </row>
    <row r="726" spans="1:6" ht="15" customHeight="1" x14ac:dyDescent="0.2">
      <c r="A726" s="8" t="s">
        <v>1306</v>
      </c>
      <c r="B726" s="8" t="s">
        <v>953</v>
      </c>
      <c r="C726" s="8" t="s">
        <v>566</v>
      </c>
      <c r="D726" s="29">
        <v>2020.8</v>
      </c>
      <c r="E726" s="29">
        <v>2025.5</v>
      </c>
      <c r="F726" s="29">
        <v>4.75</v>
      </c>
    </row>
    <row r="727" spans="1:6" ht="15" customHeight="1" x14ac:dyDescent="0.2">
      <c r="A727" s="8" t="s">
        <v>1307</v>
      </c>
      <c r="B727" s="8" t="s">
        <v>958</v>
      </c>
      <c r="C727" s="8" t="s">
        <v>564</v>
      </c>
      <c r="D727" s="29">
        <v>2020.8</v>
      </c>
      <c r="E727" s="29">
        <v>2023.3</v>
      </c>
      <c r="F727" s="29">
        <v>2.5</v>
      </c>
    </row>
    <row r="728" spans="1:6" ht="15" customHeight="1" x14ac:dyDescent="0.2">
      <c r="A728" s="8" t="s">
        <v>1308</v>
      </c>
      <c r="B728" s="8" t="s">
        <v>787</v>
      </c>
      <c r="C728" s="8" t="s">
        <v>560</v>
      </c>
      <c r="D728" s="29">
        <v>2005.3</v>
      </c>
      <c r="E728" s="29">
        <v>2019.8</v>
      </c>
      <c r="F728" s="29">
        <v>14.5</v>
      </c>
    </row>
    <row r="729" spans="1:6" ht="15" customHeight="1" x14ac:dyDescent="0.2">
      <c r="A729" s="8" t="s">
        <v>1309</v>
      </c>
      <c r="B729" s="8" t="s">
        <v>958</v>
      </c>
      <c r="C729" s="8" t="s">
        <v>560</v>
      </c>
      <c r="D729" s="29">
        <v>2007.2</v>
      </c>
      <c r="E729" s="29">
        <v>2025.3</v>
      </c>
      <c r="F729" s="29">
        <v>18.170000000000002</v>
      </c>
    </row>
    <row r="730" spans="1:6" ht="15" customHeight="1" x14ac:dyDescent="0.2">
      <c r="A730" s="8" t="s">
        <v>1310</v>
      </c>
      <c r="B730" s="8" t="s">
        <v>960</v>
      </c>
      <c r="C730" s="8" t="s">
        <v>560</v>
      </c>
      <c r="D730" s="29">
        <v>2008.5</v>
      </c>
      <c r="E730" s="29">
        <v>2020.9</v>
      </c>
      <c r="F730" s="29">
        <v>12.42</v>
      </c>
    </row>
    <row r="731" spans="1:6" ht="15" customHeight="1" x14ac:dyDescent="0.2">
      <c r="A731" s="8" t="s">
        <v>1311</v>
      </c>
      <c r="B731" s="8" t="s">
        <v>808</v>
      </c>
      <c r="C731" s="8" t="s">
        <v>560</v>
      </c>
      <c r="D731" s="29">
        <v>2009.6</v>
      </c>
      <c r="E731" s="29">
        <v>2021</v>
      </c>
      <c r="F731" s="29">
        <v>11.42</v>
      </c>
    </row>
    <row r="732" spans="1:6" ht="15" customHeight="1" x14ac:dyDescent="0.2">
      <c r="A732" s="8" t="s">
        <v>1312</v>
      </c>
      <c r="B732" s="8" t="s">
        <v>960</v>
      </c>
      <c r="C732" s="8" t="s">
        <v>566</v>
      </c>
      <c r="D732" s="29">
        <v>2009.6</v>
      </c>
      <c r="E732" s="29">
        <v>2020.7</v>
      </c>
      <c r="F732" s="29">
        <v>11.08</v>
      </c>
    </row>
    <row r="733" spans="1:6" ht="15" customHeight="1" x14ac:dyDescent="0.2">
      <c r="A733" s="8" t="s">
        <v>1313</v>
      </c>
      <c r="B733" s="8" t="s">
        <v>953</v>
      </c>
      <c r="C733" s="8" t="s">
        <v>566</v>
      </c>
      <c r="D733" s="29">
        <v>2010.2</v>
      </c>
      <c r="E733" s="29">
        <v>2019.9</v>
      </c>
      <c r="F733" s="29">
        <v>9.75</v>
      </c>
    </row>
    <row r="734" spans="1:6" ht="15" customHeight="1" x14ac:dyDescent="0.2">
      <c r="A734" s="8" t="s">
        <v>1314</v>
      </c>
      <c r="B734" s="8" t="s">
        <v>932</v>
      </c>
      <c r="C734" s="8" t="s">
        <v>566</v>
      </c>
      <c r="D734" s="29">
        <v>2010.6</v>
      </c>
      <c r="E734" s="29">
        <v>2019.4</v>
      </c>
      <c r="F734" s="29">
        <v>8.83</v>
      </c>
    </row>
    <row r="735" spans="1:6" ht="15" customHeight="1" x14ac:dyDescent="0.2">
      <c r="A735" s="8" t="s">
        <v>1315</v>
      </c>
      <c r="B735" s="8" t="s">
        <v>932</v>
      </c>
      <c r="C735" s="8" t="s">
        <v>566</v>
      </c>
      <c r="D735" s="29">
        <v>2010.7</v>
      </c>
      <c r="E735" s="29">
        <v>2020</v>
      </c>
      <c r="F735" s="29">
        <v>9.33</v>
      </c>
    </row>
    <row r="736" spans="1:6" ht="15" customHeight="1" x14ac:dyDescent="0.2">
      <c r="A736" s="8" t="s">
        <v>1316</v>
      </c>
      <c r="B736" s="8" t="s">
        <v>932</v>
      </c>
      <c r="C736" s="8" t="s">
        <v>566</v>
      </c>
      <c r="D736" s="29">
        <v>2011</v>
      </c>
      <c r="E736" s="29">
        <v>2020</v>
      </c>
      <c r="F736" s="29">
        <v>9</v>
      </c>
    </row>
    <row r="737" spans="1:6" ht="15" customHeight="1" x14ac:dyDescent="0.2">
      <c r="A737" s="8" t="s">
        <v>1317</v>
      </c>
      <c r="B737" s="8" t="s">
        <v>958</v>
      </c>
      <c r="C737" s="8" t="s">
        <v>566</v>
      </c>
      <c r="D737" s="29">
        <v>2011.6</v>
      </c>
      <c r="E737" s="29">
        <v>2021.2</v>
      </c>
      <c r="F737" s="29">
        <v>9.67</v>
      </c>
    </row>
    <row r="738" spans="1:6" ht="15" customHeight="1" x14ac:dyDescent="0.2">
      <c r="A738" s="8" t="s">
        <v>1318</v>
      </c>
      <c r="B738" s="8" t="s">
        <v>1319</v>
      </c>
      <c r="C738" s="8" t="s">
        <v>562</v>
      </c>
      <c r="D738" s="29">
        <v>2012</v>
      </c>
      <c r="E738" s="29">
        <v>2019.1</v>
      </c>
      <c r="F738" s="29">
        <v>7.08</v>
      </c>
    </row>
    <row r="739" spans="1:6" ht="15" customHeight="1" x14ac:dyDescent="0.2">
      <c r="A739" s="8" t="s">
        <v>1320</v>
      </c>
      <c r="B739" s="8" t="s">
        <v>953</v>
      </c>
      <c r="C739" s="8" t="s">
        <v>562</v>
      </c>
      <c r="D739" s="29">
        <v>2012.5</v>
      </c>
      <c r="E739" s="29">
        <v>2019.8</v>
      </c>
      <c r="F739" s="29">
        <v>7.33</v>
      </c>
    </row>
    <row r="740" spans="1:6" ht="15" customHeight="1" x14ac:dyDescent="0.2">
      <c r="A740" s="8" t="s">
        <v>1321</v>
      </c>
      <c r="B740" s="8" t="s">
        <v>996</v>
      </c>
      <c r="C740" s="8" t="s">
        <v>765</v>
      </c>
      <c r="D740" s="29">
        <v>2013</v>
      </c>
      <c r="E740" s="29">
        <v>2019.3</v>
      </c>
      <c r="F740" s="29">
        <v>6.33</v>
      </c>
    </row>
    <row r="741" spans="1:6" ht="15" customHeight="1" x14ac:dyDescent="0.2">
      <c r="A741" s="8" t="s">
        <v>1322</v>
      </c>
      <c r="B741" s="8" t="s">
        <v>953</v>
      </c>
      <c r="C741" s="8" t="s">
        <v>562</v>
      </c>
      <c r="D741" s="29">
        <v>2013.2</v>
      </c>
      <c r="E741" s="29">
        <v>2021.4</v>
      </c>
      <c r="F741" s="29">
        <v>8.17</v>
      </c>
    </row>
    <row r="742" spans="1:6" ht="15" customHeight="1" x14ac:dyDescent="0.2">
      <c r="A742" s="8" t="s">
        <v>1323</v>
      </c>
      <c r="B742" s="8" t="s">
        <v>655</v>
      </c>
      <c r="C742" s="8" t="s">
        <v>560</v>
      </c>
      <c r="D742" s="29">
        <v>2013.5</v>
      </c>
      <c r="E742" s="29">
        <v>2024.9</v>
      </c>
      <c r="F742" s="29">
        <v>11.42</v>
      </c>
    </row>
    <row r="743" spans="1:6" ht="15" customHeight="1" x14ac:dyDescent="0.2">
      <c r="A743" s="8" t="s">
        <v>1324</v>
      </c>
      <c r="B743" s="8" t="s">
        <v>980</v>
      </c>
      <c r="C743" s="8" t="s">
        <v>1325</v>
      </c>
      <c r="D743" s="29">
        <v>2013.8</v>
      </c>
      <c r="E743" s="29">
        <v>2020.7</v>
      </c>
      <c r="F743" s="29">
        <v>6.92</v>
      </c>
    </row>
    <row r="744" spans="1:6" ht="15" customHeight="1" x14ac:dyDescent="0.2">
      <c r="A744" s="8" t="s">
        <v>1326</v>
      </c>
      <c r="B744" s="8" t="s">
        <v>953</v>
      </c>
      <c r="C744" s="8" t="s">
        <v>560</v>
      </c>
      <c r="D744" s="29">
        <v>2013.8</v>
      </c>
      <c r="E744" s="29">
        <v>2019.8</v>
      </c>
      <c r="F744" s="29">
        <v>6.08</v>
      </c>
    </row>
    <row r="745" spans="1:6" ht="15" customHeight="1" x14ac:dyDescent="0.2">
      <c r="A745" s="8" t="s">
        <v>1327</v>
      </c>
      <c r="B745" s="8" t="s">
        <v>958</v>
      </c>
      <c r="C745" s="8" t="s">
        <v>566</v>
      </c>
      <c r="D745" s="29">
        <v>2014.2</v>
      </c>
      <c r="E745" s="29">
        <v>2019.3</v>
      </c>
      <c r="F745" s="29">
        <v>5.08</v>
      </c>
    </row>
    <row r="746" spans="1:6" ht="15" customHeight="1" x14ac:dyDescent="0.2">
      <c r="A746" s="8" t="s">
        <v>1328</v>
      </c>
      <c r="B746" s="8" t="s">
        <v>958</v>
      </c>
      <c r="C746" s="8" t="s">
        <v>566</v>
      </c>
      <c r="D746" s="29">
        <v>2014.2</v>
      </c>
      <c r="E746" s="29">
        <v>2019.2</v>
      </c>
      <c r="F746" s="29">
        <v>4.92</v>
      </c>
    </row>
    <row r="747" spans="1:6" ht="15" customHeight="1" x14ac:dyDescent="0.2">
      <c r="A747" s="8" t="s">
        <v>1329</v>
      </c>
      <c r="B747" s="8" t="s">
        <v>787</v>
      </c>
      <c r="C747" s="8" t="s">
        <v>560</v>
      </c>
      <c r="D747" s="29">
        <v>2014.2</v>
      </c>
      <c r="E747" s="29">
        <v>2019.9</v>
      </c>
      <c r="F747" s="29">
        <v>5.67</v>
      </c>
    </row>
    <row r="748" spans="1:6" ht="15" customHeight="1" x14ac:dyDescent="0.2">
      <c r="A748" s="8" t="s">
        <v>1330</v>
      </c>
      <c r="B748" s="8" t="s">
        <v>953</v>
      </c>
      <c r="C748" s="8" t="s">
        <v>562</v>
      </c>
      <c r="D748" s="29">
        <v>2014.2</v>
      </c>
      <c r="E748" s="29">
        <v>2019.8</v>
      </c>
      <c r="F748" s="29">
        <v>5.58</v>
      </c>
    </row>
    <row r="749" spans="1:6" ht="15" customHeight="1" x14ac:dyDescent="0.2">
      <c r="A749" s="8" t="s">
        <v>1331</v>
      </c>
      <c r="B749" s="8" t="s">
        <v>1332</v>
      </c>
      <c r="C749" s="8" t="s">
        <v>560</v>
      </c>
      <c r="D749" s="29">
        <v>2016</v>
      </c>
      <c r="E749" s="29">
        <v>2019.6</v>
      </c>
      <c r="F749" s="29">
        <v>3.58</v>
      </c>
    </row>
    <row r="750" spans="1:6" ht="15" customHeight="1" x14ac:dyDescent="0.2">
      <c r="A750" s="8" t="s">
        <v>1333</v>
      </c>
      <c r="B750" s="8" t="s">
        <v>568</v>
      </c>
      <c r="C750" s="8" t="s">
        <v>566</v>
      </c>
      <c r="D750" s="29">
        <v>2016</v>
      </c>
      <c r="E750" s="29">
        <v>2021.9</v>
      </c>
      <c r="F750" s="29">
        <v>5.92</v>
      </c>
    </row>
    <row r="751" spans="1:6" ht="15" customHeight="1" x14ac:dyDescent="0.2">
      <c r="A751" s="8" t="s">
        <v>1334</v>
      </c>
      <c r="B751" s="8" t="s">
        <v>568</v>
      </c>
      <c r="C751" s="8" t="s">
        <v>761</v>
      </c>
      <c r="D751" s="29">
        <v>2016.4</v>
      </c>
      <c r="E751" s="29">
        <v>2023.7</v>
      </c>
      <c r="F751" s="29">
        <v>7.25</v>
      </c>
    </row>
    <row r="752" spans="1:6" ht="15" customHeight="1" x14ac:dyDescent="0.2">
      <c r="A752" s="8" t="s">
        <v>1335</v>
      </c>
      <c r="B752" s="8" t="s">
        <v>568</v>
      </c>
      <c r="C752" s="8" t="s">
        <v>564</v>
      </c>
      <c r="D752" s="29">
        <v>2018.6</v>
      </c>
      <c r="E752" s="29">
        <v>2021.3</v>
      </c>
      <c r="F752" s="29">
        <v>2.75</v>
      </c>
    </row>
    <row r="753" spans="1:6" ht="15" customHeight="1" x14ac:dyDescent="0.2">
      <c r="A753" s="8" t="s">
        <v>1336</v>
      </c>
      <c r="B753" s="8" t="s">
        <v>568</v>
      </c>
      <c r="C753" s="8" t="s">
        <v>761</v>
      </c>
      <c r="D753" s="29">
        <v>2019</v>
      </c>
      <c r="E753" s="29">
        <v>2023.4</v>
      </c>
      <c r="F753" s="29">
        <v>4.42</v>
      </c>
    </row>
    <row r="754" spans="1:6" ht="15" customHeight="1" x14ac:dyDescent="0.2">
      <c r="A754" s="8" t="s">
        <v>1337</v>
      </c>
      <c r="B754" s="8" t="s">
        <v>1338</v>
      </c>
      <c r="C754" s="8" t="s">
        <v>562</v>
      </c>
      <c r="D754" s="29">
        <v>2023</v>
      </c>
      <c r="E754" s="29">
        <v>2025.1</v>
      </c>
      <c r="F754" s="29">
        <v>2.08</v>
      </c>
    </row>
    <row r="755" spans="1:6" ht="15" customHeight="1" x14ac:dyDescent="0.2">
      <c r="A755" s="8" t="s">
        <v>1339</v>
      </c>
      <c r="B755" s="8" t="s">
        <v>1340</v>
      </c>
      <c r="C755" s="8" t="s">
        <v>562</v>
      </c>
      <c r="D755" s="29">
        <v>2023.7</v>
      </c>
      <c r="E755" s="29">
        <v>2024.4</v>
      </c>
      <c r="F755" s="29">
        <v>0.75</v>
      </c>
    </row>
    <row r="756" spans="1:6" ht="15" customHeight="1" x14ac:dyDescent="0.2">
      <c r="A756" s="8" t="s">
        <v>1341</v>
      </c>
      <c r="B756" s="8" t="s">
        <v>1340</v>
      </c>
      <c r="C756" s="8" t="s">
        <v>657</v>
      </c>
      <c r="D756" s="29">
        <v>2010.2</v>
      </c>
      <c r="E756" s="29">
        <v>2024.2</v>
      </c>
      <c r="F756" s="29">
        <v>14.08</v>
      </c>
    </row>
    <row r="757" spans="1:6" ht="15" customHeight="1" x14ac:dyDescent="0.2">
      <c r="A757" s="8" t="s">
        <v>1342</v>
      </c>
      <c r="B757" s="8" t="s">
        <v>1340</v>
      </c>
      <c r="C757" s="8" t="s">
        <v>566</v>
      </c>
      <c r="D757" s="29">
        <v>2016.5</v>
      </c>
      <c r="E757" s="29">
        <v>2024.8</v>
      </c>
      <c r="F757" s="29">
        <v>8.33</v>
      </c>
    </row>
    <row r="758" spans="1:6" ht="15" customHeight="1" x14ac:dyDescent="0.2">
      <c r="A758" s="8" t="s">
        <v>1343</v>
      </c>
      <c r="B758" s="8" t="s">
        <v>1340</v>
      </c>
      <c r="C758" s="8" t="s">
        <v>566</v>
      </c>
      <c r="D758" s="29">
        <v>2018.6</v>
      </c>
      <c r="E758" s="29">
        <v>2024.8</v>
      </c>
      <c r="F758" s="29">
        <v>6.25</v>
      </c>
    </row>
    <row r="759" spans="1:6" ht="15" customHeight="1" x14ac:dyDescent="0.2">
      <c r="A759" s="8" t="s">
        <v>1344</v>
      </c>
      <c r="B759" s="8" t="s">
        <v>1340</v>
      </c>
      <c r="C759" s="8" t="s">
        <v>566</v>
      </c>
      <c r="D759" s="29">
        <v>2018.6</v>
      </c>
      <c r="E759" s="29">
        <v>2024.8</v>
      </c>
      <c r="F759" s="29">
        <v>6.25</v>
      </c>
    </row>
    <row r="760" spans="1:6" ht="15" customHeight="1" x14ac:dyDescent="0.2">
      <c r="A760" s="8" t="s">
        <v>1345</v>
      </c>
      <c r="B760" s="8" t="s">
        <v>1338</v>
      </c>
      <c r="C760" s="8" t="s">
        <v>566</v>
      </c>
      <c r="D760" s="29">
        <v>2018.7</v>
      </c>
      <c r="E760" s="29">
        <v>2023.8</v>
      </c>
      <c r="F760" s="29">
        <v>5.17</v>
      </c>
    </row>
    <row r="761" spans="1:6" ht="15" customHeight="1" x14ac:dyDescent="0.2">
      <c r="A761" s="8" t="s">
        <v>1346</v>
      </c>
      <c r="B761" s="8" t="s">
        <v>1340</v>
      </c>
      <c r="C761" s="8" t="s">
        <v>566</v>
      </c>
      <c r="D761" s="29">
        <v>2018.8</v>
      </c>
      <c r="E761" s="29">
        <v>2024.8</v>
      </c>
      <c r="F761" s="29">
        <v>6.08</v>
      </c>
    </row>
    <row r="762" spans="1:6" ht="15" customHeight="1" x14ac:dyDescent="0.2">
      <c r="A762" s="8" t="s">
        <v>1347</v>
      </c>
      <c r="B762" s="8" t="s">
        <v>1340</v>
      </c>
      <c r="C762" s="8" t="s">
        <v>566</v>
      </c>
      <c r="D762" s="29">
        <v>2018.8</v>
      </c>
      <c r="E762" s="29">
        <v>2024.2</v>
      </c>
      <c r="F762" s="29">
        <v>5.42</v>
      </c>
    </row>
    <row r="763" spans="1:6" ht="15" customHeight="1" x14ac:dyDescent="0.2">
      <c r="A763" s="8" t="s">
        <v>1348</v>
      </c>
      <c r="B763" s="8" t="s">
        <v>1340</v>
      </c>
      <c r="C763" s="8" t="s">
        <v>566</v>
      </c>
      <c r="D763" s="29">
        <v>2018.9</v>
      </c>
      <c r="E763" s="29">
        <v>2024.2</v>
      </c>
      <c r="F763" s="29">
        <v>5.25</v>
      </c>
    </row>
    <row r="764" spans="1:6" ht="15" customHeight="1" x14ac:dyDescent="0.2">
      <c r="A764" s="8" t="s">
        <v>1349</v>
      </c>
      <c r="B764" s="8" t="s">
        <v>1340</v>
      </c>
      <c r="C764" s="8" t="s">
        <v>566</v>
      </c>
      <c r="D764" s="29">
        <v>2019.6</v>
      </c>
      <c r="E764" s="29">
        <v>2024.3</v>
      </c>
      <c r="F764" s="29">
        <v>4.75</v>
      </c>
    </row>
    <row r="765" spans="1:6" ht="15" customHeight="1" x14ac:dyDescent="0.2">
      <c r="A765" s="8" t="s">
        <v>1350</v>
      </c>
      <c r="B765" s="8" t="s">
        <v>1340</v>
      </c>
      <c r="C765" s="8" t="s">
        <v>564</v>
      </c>
      <c r="D765" s="29">
        <v>2020.2</v>
      </c>
      <c r="E765" s="29">
        <v>2024.8</v>
      </c>
      <c r="F765" s="29">
        <v>4.5</v>
      </c>
    </row>
    <row r="766" spans="1:6" ht="15" customHeight="1" x14ac:dyDescent="0.2">
      <c r="A766" s="8" t="s">
        <v>1351</v>
      </c>
      <c r="B766" s="8" t="s">
        <v>1340</v>
      </c>
      <c r="C766" s="8" t="s">
        <v>566</v>
      </c>
      <c r="D766" s="29">
        <v>2020.5</v>
      </c>
      <c r="E766" s="29">
        <v>2024.3</v>
      </c>
      <c r="F766" s="29">
        <v>3.83</v>
      </c>
    </row>
    <row r="767" spans="1:6" ht="15" customHeight="1" x14ac:dyDescent="0.2">
      <c r="A767" s="8" t="s">
        <v>1352</v>
      </c>
      <c r="B767" s="8" t="s">
        <v>1340</v>
      </c>
      <c r="C767" s="8" t="s">
        <v>765</v>
      </c>
      <c r="D767" s="29">
        <v>2020.5</v>
      </c>
      <c r="E767" s="29">
        <v>2024.8</v>
      </c>
      <c r="F767" s="29">
        <v>4.33</v>
      </c>
    </row>
    <row r="768" spans="1:6" ht="15" customHeight="1" x14ac:dyDescent="0.2">
      <c r="A768" s="8" t="s">
        <v>1353</v>
      </c>
      <c r="B768" s="8" t="s">
        <v>789</v>
      </c>
      <c r="C768" s="8" t="s">
        <v>560</v>
      </c>
      <c r="D768" s="29">
        <v>2006.9</v>
      </c>
      <c r="E768" s="29">
        <v>2022.9</v>
      </c>
      <c r="F768" s="29">
        <v>16</v>
      </c>
    </row>
    <row r="769" spans="1:6" ht="15" customHeight="1" x14ac:dyDescent="0.2">
      <c r="A769" s="8" t="s">
        <v>1354</v>
      </c>
      <c r="B769" s="8" t="s">
        <v>1355</v>
      </c>
      <c r="C769" s="8" t="s">
        <v>560</v>
      </c>
      <c r="D769" s="29">
        <v>2010.2</v>
      </c>
      <c r="E769" s="29">
        <v>2021.9</v>
      </c>
      <c r="F769" s="29">
        <v>11.75</v>
      </c>
    </row>
    <row r="770" spans="1:6" ht="15" customHeight="1" x14ac:dyDescent="0.2">
      <c r="A770" s="8" t="s">
        <v>1356</v>
      </c>
      <c r="B770" s="8" t="s">
        <v>789</v>
      </c>
      <c r="C770" s="8" t="s">
        <v>560</v>
      </c>
      <c r="D770" s="29">
        <v>2010.2</v>
      </c>
      <c r="E770" s="29">
        <v>2022.9</v>
      </c>
      <c r="F770" s="29">
        <v>12.75</v>
      </c>
    </row>
    <row r="771" spans="1:6" ht="15" customHeight="1" x14ac:dyDescent="0.2">
      <c r="A771" s="8" t="s">
        <v>1357</v>
      </c>
      <c r="B771" s="8" t="s">
        <v>789</v>
      </c>
      <c r="C771" s="8" t="s">
        <v>560</v>
      </c>
      <c r="D771" s="29">
        <v>2011.2</v>
      </c>
      <c r="E771" s="29">
        <v>2022.7</v>
      </c>
      <c r="F771" s="29">
        <v>11.5</v>
      </c>
    </row>
    <row r="772" spans="1:6" ht="15" customHeight="1" x14ac:dyDescent="0.2">
      <c r="A772" s="8" t="s">
        <v>1358</v>
      </c>
      <c r="B772" s="8" t="s">
        <v>789</v>
      </c>
      <c r="C772" s="8" t="s">
        <v>560</v>
      </c>
      <c r="D772" s="29">
        <v>2012.7</v>
      </c>
      <c r="E772" s="29">
        <v>2019.4</v>
      </c>
      <c r="F772" s="29">
        <v>6.75</v>
      </c>
    </row>
    <row r="773" spans="1:6" ht="15" customHeight="1" x14ac:dyDescent="0.2">
      <c r="A773" s="8" t="s">
        <v>1359</v>
      </c>
      <c r="B773" s="8" t="s">
        <v>789</v>
      </c>
      <c r="C773" s="8" t="s">
        <v>562</v>
      </c>
      <c r="D773" s="29">
        <v>2013.2</v>
      </c>
      <c r="E773" s="29">
        <v>2019.8</v>
      </c>
      <c r="F773" s="29">
        <v>6.58</v>
      </c>
    </row>
    <row r="774" spans="1:6" ht="15" customHeight="1" x14ac:dyDescent="0.2">
      <c r="A774" s="8" t="s">
        <v>1360</v>
      </c>
      <c r="B774" s="8" t="s">
        <v>1355</v>
      </c>
      <c r="C774" s="8" t="s">
        <v>560</v>
      </c>
      <c r="D774" s="29">
        <v>2014</v>
      </c>
      <c r="E774" s="29">
        <v>2023.6</v>
      </c>
      <c r="F774" s="29">
        <v>9.58</v>
      </c>
    </row>
    <row r="775" spans="1:6" ht="15" customHeight="1" x14ac:dyDescent="0.2">
      <c r="A775" s="8" t="s">
        <v>1361</v>
      </c>
      <c r="B775" s="8" t="s">
        <v>777</v>
      </c>
      <c r="C775" s="8" t="s">
        <v>560</v>
      </c>
      <c r="D775" s="29">
        <v>2015.8</v>
      </c>
      <c r="E775" s="29">
        <v>2020.7</v>
      </c>
      <c r="F775" s="29">
        <v>4.83</v>
      </c>
    </row>
    <row r="776" spans="1:6" ht="15" customHeight="1" x14ac:dyDescent="0.2">
      <c r="A776" s="8" t="s">
        <v>1362</v>
      </c>
      <c r="B776" s="8" t="s">
        <v>1363</v>
      </c>
      <c r="C776" s="8" t="s">
        <v>566</v>
      </c>
      <c r="D776" s="29">
        <v>2014.7</v>
      </c>
      <c r="E776" s="29">
        <v>2023.2</v>
      </c>
      <c r="F776" s="29">
        <v>8.58</v>
      </c>
    </row>
    <row r="777" spans="1:6" ht="15" customHeight="1" x14ac:dyDescent="0.2">
      <c r="A777" s="8" t="s">
        <v>1364</v>
      </c>
      <c r="B777" s="8" t="s">
        <v>1365</v>
      </c>
      <c r="C777" s="8" t="s">
        <v>560</v>
      </c>
      <c r="D777" s="29">
        <v>2015.2</v>
      </c>
      <c r="E777" s="29">
        <v>2019.9</v>
      </c>
      <c r="F777" s="29">
        <v>4.75</v>
      </c>
    </row>
    <row r="778" spans="1:6" ht="15" customHeight="1" x14ac:dyDescent="0.2">
      <c r="A778" s="8" t="s">
        <v>1366</v>
      </c>
      <c r="B778" s="8" t="s">
        <v>1367</v>
      </c>
      <c r="C778" s="8" t="s">
        <v>566</v>
      </c>
      <c r="D778" s="29">
        <v>2015.2</v>
      </c>
      <c r="E778" s="29">
        <v>2024.3</v>
      </c>
      <c r="F778" s="29">
        <v>9.17</v>
      </c>
    </row>
    <row r="779" spans="1:6" ht="15" customHeight="1" x14ac:dyDescent="0.2">
      <c r="A779" s="8" t="s">
        <v>1368</v>
      </c>
      <c r="B779" s="8" t="s">
        <v>1355</v>
      </c>
      <c r="C779" s="8" t="s">
        <v>560</v>
      </c>
      <c r="D779" s="29">
        <v>2015.2</v>
      </c>
      <c r="E779" s="29">
        <v>2019.7</v>
      </c>
      <c r="F779" s="29">
        <v>4.5</v>
      </c>
    </row>
    <row r="780" spans="1:6" ht="15" customHeight="1" x14ac:dyDescent="0.2">
      <c r="A780" s="8" t="s">
        <v>1369</v>
      </c>
      <c r="B780" s="8" t="s">
        <v>1355</v>
      </c>
      <c r="C780" s="8" t="s">
        <v>566</v>
      </c>
      <c r="D780" s="29">
        <v>2015.2</v>
      </c>
      <c r="E780" s="29">
        <v>2020.2</v>
      </c>
      <c r="F780" s="29">
        <v>5</v>
      </c>
    </row>
    <row r="781" spans="1:6" ht="15" customHeight="1" x14ac:dyDescent="0.2">
      <c r="A781" s="8" t="s">
        <v>1370</v>
      </c>
      <c r="B781" s="8" t="s">
        <v>1365</v>
      </c>
      <c r="C781" s="8" t="s">
        <v>560</v>
      </c>
      <c r="D781" s="29">
        <v>2015.2</v>
      </c>
      <c r="E781" s="29">
        <v>2022.8</v>
      </c>
      <c r="F781" s="29">
        <v>7.67</v>
      </c>
    </row>
    <row r="782" spans="1:6" ht="15" customHeight="1" x14ac:dyDescent="0.2">
      <c r="A782" s="8" t="s">
        <v>1371</v>
      </c>
      <c r="B782" s="8" t="s">
        <v>1367</v>
      </c>
      <c r="C782" s="8" t="s">
        <v>560</v>
      </c>
      <c r="D782" s="29">
        <v>2015.6</v>
      </c>
      <c r="E782" s="29">
        <v>2020.9</v>
      </c>
      <c r="F782" s="29">
        <v>5.33</v>
      </c>
    </row>
    <row r="783" spans="1:6" ht="15" customHeight="1" x14ac:dyDescent="0.2">
      <c r="A783" s="8" t="s">
        <v>1372</v>
      </c>
      <c r="B783" s="8" t="s">
        <v>1367</v>
      </c>
      <c r="C783" s="8" t="s">
        <v>560</v>
      </c>
      <c r="D783" s="29">
        <v>2015.7</v>
      </c>
      <c r="E783" s="29">
        <v>2020.9</v>
      </c>
      <c r="F783" s="29">
        <v>5.25</v>
      </c>
    </row>
    <row r="784" spans="1:6" ht="15" customHeight="1" x14ac:dyDescent="0.2">
      <c r="A784" s="8" t="s">
        <v>1373</v>
      </c>
      <c r="B784" s="8" t="s">
        <v>789</v>
      </c>
      <c r="C784" s="8" t="s">
        <v>562</v>
      </c>
      <c r="D784" s="29">
        <v>2015.7</v>
      </c>
      <c r="E784" s="29">
        <v>2019.8</v>
      </c>
      <c r="F784" s="29">
        <v>4.08</v>
      </c>
    </row>
    <row r="785" spans="1:6" ht="15" customHeight="1" x14ac:dyDescent="0.2">
      <c r="A785" s="8" t="s">
        <v>1374</v>
      </c>
      <c r="B785" s="8" t="s">
        <v>1367</v>
      </c>
      <c r="C785" s="8" t="s">
        <v>564</v>
      </c>
      <c r="D785" s="29">
        <v>2015.8</v>
      </c>
      <c r="E785" s="29">
        <v>2020.1</v>
      </c>
      <c r="F785" s="29">
        <v>4.33</v>
      </c>
    </row>
    <row r="786" spans="1:6" ht="15" customHeight="1" x14ac:dyDescent="0.2">
      <c r="A786" s="8" t="s">
        <v>1375</v>
      </c>
      <c r="B786" s="8" t="s">
        <v>775</v>
      </c>
      <c r="C786" s="8" t="s">
        <v>560</v>
      </c>
      <c r="D786" s="29">
        <v>2015.8</v>
      </c>
      <c r="E786" s="29">
        <v>2021.3</v>
      </c>
      <c r="F786" s="29">
        <v>5.58</v>
      </c>
    </row>
    <row r="787" spans="1:6" ht="15" customHeight="1" x14ac:dyDescent="0.2">
      <c r="A787" s="8" t="s">
        <v>1376</v>
      </c>
      <c r="B787" s="8" t="s">
        <v>1367</v>
      </c>
      <c r="C787" s="8" t="s">
        <v>560</v>
      </c>
      <c r="D787" s="29">
        <v>2015.8</v>
      </c>
      <c r="E787" s="29">
        <v>2021.2</v>
      </c>
      <c r="F787" s="29">
        <v>5.5</v>
      </c>
    </row>
    <row r="788" spans="1:6" ht="15" customHeight="1" x14ac:dyDescent="0.2">
      <c r="A788" s="8" t="s">
        <v>1377</v>
      </c>
      <c r="B788" s="8" t="s">
        <v>1355</v>
      </c>
      <c r="C788" s="8" t="s">
        <v>560</v>
      </c>
      <c r="D788" s="29">
        <v>2015.8</v>
      </c>
      <c r="E788" s="29">
        <v>2025.1</v>
      </c>
      <c r="F788" s="29">
        <v>9.33</v>
      </c>
    </row>
    <row r="789" spans="1:6" ht="15" customHeight="1" x14ac:dyDescent="0.2">
      <c r="A789" s="8" t="s">
        <v>1378</v>
      </c>
      <c r="B789" s="8" t="s">
        <v>1367</v>
      </c>
      <c r="C789" s="8" t="s">
        <v>560</v>
      </c>
      <c r="D789" s="29">
        <v>2015.8</v>
      </c>
      <c r="E789" s="29">
        <v>2024.6</v>
      </c>
      <c r="F789" s="29">
        <v>8.83</v>
      </c>
    </row>
    <row r="790" spans="1:6" ht="15" customHeight="1" x14ac:dyDescent="0.2">
      <c r="A790" s="8" t="s">
        <v>1379</v>
      </c>
      <c r="B790" s="8" t="s">
        <v>1355</v>
      </c>
      <c r="C790" s="8" t="s">
        <v>560</v>
      </c>
      <c r="D790" s="29">
        <v>2015.8</v>
      </c>
      <c r="E790" s="29">
        <v>2020.2</v>
      </c>
      <c r="F790" s="29">
        <v>4.42</v>
      </c>
    </row>
    <row r="791" spans="1:6" ht="15" customHeight="1" x14ac:dyDescent="0.2">
      <c r="A791" s="8" t="s">
        <v>1380</v>
      </c>
      <c r="B791" s="8" t="s">
        <v>1355</v>
      </c>
      <c r="C791" s="8" t="s">
        <v>560</v>
      </c>
      <c r="D791" s="29">
        <v>2015.8</v>
      </c>
      <c r="E791" s="29">
        <v>2019.5</v>
      </c>
      <c r="F791" s="29">
        <v>3.75</v>
      </c>
    </row>
    <row r="792" spans="1:6" ht="15" customHeight="1" x14ac:dyDescent="0.2">
      <c r="A792" s="8" t="s">
        <v>1381</v>
      </c>
      <c r="B792" s="8" t="s">
        <v>1355</v>
      </c>
      <c r="C792" s="8" t="s">
        <v>560</v>
      </c>
      <c r="D792" s="29">
        <v>2015.7</v>
      </c>
      <c r="E792" s="29">
        <v>2019.9</v>
      </c>
      <c r="F792" s="29">
        <v>4.25</v>
      </c>
    </row>
    <row r="793" spans="1:6" ht="15" customHeight="1" x14ac:dyDescent="0.2">
      <c r="A793" s="8" t="s">
        <v>1382</v>
      </c>
      <c r="B793" s="8" t="s">
        <v>1367</v>
      </c>
      <c r="C793" s="8" t="s">
        <v>560</v>
      </c>
      <c r="D793" s="29">
        <v>2015.7</v>
      </c>
      <c r="E793" s="29">
        <v>2020.8</v>
      </c>
      <c r="F793" s="29">
        <v>5.17</v>
      </c>
    </row>
    <row r="794" spans="1:6" ht="15" customHeight="1" x14ac:dyDescent="0.2">
      <c r="A794" s="8" t="s">
        <v>1383</v>
      </c>
      <c r="B794" s="8" t="s">
        <v>1365</v>
      </c>
      <c r="C794" s="8" t="s">
        <v>560</v>
      </c>
      <c r="D794" s="29">
        <v>2015.7</v>
      </c>
      <c r="E794" s="29">
        <v>2020.9</v>
      </c>
      <c r="F794" s="29">
        <v>5.25</v>
      </c>
    </row>
    <row r="795" spans="1:6" ht="15" customHeight="1" x14ac:dyDescent="0.2">
      <c r="A795" s="8" t="s">
        <v>1384</v>
      </c>
      <c r="B795" s="8" t="s">
        <v>777</v>
      </c>
      <c r="C795" s="8" t="s">
        <v>560</v>
      </c>
      <c r="D795" s="29">
        <v>2015.8</v>
      </c>
      <c r="E795" s="29">
        <v>2020.2</v>
      </c>
      <c r="F795" s="29">
        <v>4.5</v>
      </c>
    </row>
    <row r="796" spans="1:6" ht="15" customHeight="1" x14ac:dyDescent="0.2">
      <c r="A796" s="8" t="s">
        <v>1385</v>
      </c>
      <c r="B796" s="8" t="s">
        <v>1367</v>
      </c>
      <c r="C796" s="8" t="s">
        <v>560</v>
      </c>
      <c r="D796" s="29">
        <v>2016.2</v>
      </c>
      <c r="E796" s="29">
        <v>2022.9</v>
      </c>
      <c r="F796" s="29">
        <v>6.75</v>
      </c>
    </row>
    <row r="797" spans="1:6" ht="15" customHeight="1" x14ac:dyDescent="0.2">
      <c r="A797" s="8" t="s">
        <v>1386</v>
      </c>
      <c r="B797" s="8" t="s">
        <v>1367</v>
      </c>
      <c r="C797" s="8" t="s">
        <v>562</v>
      </c>
      <c r="D797" s="29">
        <v>2016.2</v>
      </c>
      <c r="E797" s="29">
        <v>2020.8</v>
      </c>
      <c r="F797" s="29">
        <v>4.67</v>
      </c>
    </row>
    <row r="798" spans="1:6" ht="15" customHeight="1" x14ac:dyDescent="0.2">
      <c r="A798" s="8" t="s">
        <v>1387</v>
      </c>
      <c r="B798" s="8" t="s">
        <v>800</v>
      </c>
      <c r="C798" s="8" t="s">
        <v>562</v>
      </c>
      <c r="D798" s="29">
        <v>2016.2</v>
      </c>
      <c r="E798" s="29">
        <v>2020.2</v>
      </c>
      <c r="F798" s="29">
        <v>4.08</v>
      </c>
    </row>
    <row r="799" spans="1:6" ht="15" customHeight="1" x14ac:dyDescent="0.2">
      <c r="A799" s="8" t="s">
        <v>1388</v>
      </c>
      <c r="B799" s="8" t="s">
        <v>800</v>
      </c>
      <c r="C799" s="8" t="s">
        <v>562</v>
      </c>
      <c r="D799" s="29">
        <v>2016.2</v>
      </c>
      <c r="E799" s="29">
        <v>2020.2</v>
      </c>
      <c r="F799" s="29">
        <v>4.08</v>
      </c>
    </row>
    <row r="800" spans="1:6" ht="15" customHeight="1" x14ac:dyDescent="0.2">
      <c r="A800" s="8" t="s">
        <v>1389</v>
      </c>
      <c r="B800" s="8" t="s">
        <v>777</v>
      </c>
      <c r="C800" s="8" t="s">
        <v>560</v>
      </c>
      <c r="D800" s="29">
        <v>2016.2</v>
      </c>
      <c r="E800" s="29">
        <v>2020.8</v>
      </c>
      <c r="F800" s="29">
        <v>4.67</v>
      </c>
    </row>
    <row r="801" spans="1:6" ht="15" customHeight="1" x14ac:dyDescent="0.2">
      <c r="A801" s="8" t="s">
        <v>1390</v>
      </c>
      <c r="B801" s="8" t="s">
        <v>1367</v>
      </c>
      <c r="C801" s="8" t="s">
        <v>560</v>
      </c>
      <c r="D801" s="29">
        <v>2016.2</v>
      </c>
      <c r="E801" s="29">
        <v>2020.9</v>
      </c>
      <c r="F801" s="29">
        <v>4.67</v>
      </c>
    </row>
    <row r="802" spans="1:6" ht="15" customHeight="1" x14ac:dyDescent="0.2">
      <c r="A802" s="8" t="s">
        <v>1391</v>
      </c>
      <c r="B802" s="8" t="s">
        <v>1365</v>
      </c>
      <c r="C802" s="8" t="s">
        <v>560</v>
      </c>
      <c r="D802" s="29">
        <v>2016.2</v>
      </c>
      <c r="E802" s="29">
        <v>2022.2</v>
      </c>
      <c r="F802" s="29">
        <v>6</v>
      </c>
    </row>
    <row r="803" spans="1:6" ht="15" customHeight="1" x14ac:dyDescent="0.2">
      <c r="A803" s="8" t="s">
        <v>1392</v>
      </c>
      <c r="B803" s="8" t="s">
        <v>1367</v>
      </c>
      <c r="C803" s="8" t="s">
        <v>560</v>
      </c>
      <c r="D803" s="29">
        <v>2016.2</v>
      </c>
      <c r="E803" s="29">
        <v>2020.9</v>
      </c>
      <c r="F803" s="29">
        <v>4.75</v>
      </c>
    </row>
    <row r="804" spans="1:6" ht="15" customHeight="1" x14ac:dyDescent="0.2">
      <c r="A804" s="8" t="s">
        <v>1393</v>
      </c>
      <c r="B804" s="8" t="s">
        <v>1367</v>
      </c>
      <c r="C804" s="8" t="s">
        <v>560</v>
      </c>
      <c r="D804" s="29">
        <v>2016.2</v>
      </c>
      <c r="E804" s="29">
        <v>2019.9</v>
      </c>
      <c r="F804" s="29">
        <v>3.75</v>
      </c>
    </row>
    <row r="805" spans="1:6" ht="15" customHeight="1" x14ac:dyDescent="0.2">
      <c r="A805" s="8" t="s">
        <v>1394</v>
      </c>
      <c r="B805" s="8" t="s">
        <v>1367</v>
      </c>
      <c r="C805" s="8" t="s">
        <v>560</v>
      </c>
      <c r="D805" s="29">
        <v>2016.2</v>
      </c>
      <c r="E805" s="29">
        <v>2024.2</v>
      </c>
      <c r="F805" s="29">
        <v>8.08</v>
      </c>
    </row>
    <row r="806" spans="1:6" ht="15" customHeight="1" x14ac:dyDescent="0.2">
      <c r="A806" s="8" t="s">
        <v>1395</v>
      </c>
      <c r="B806" s="8" t="s">
        <v>1367</v>
      </c>
      <c r="C806" s="8" t="s">
        <v>560</v>
      </c>
      <c r="D806" s="29">
        <v>2016.2</v>
      </c>
      <c r="E806" s="29">
        <v>2023.2</v>
      </c>
      <c r="F806" s="29">
        <v>7</v>
      </c>
    </row>
    <row r="807" spans="1:6" ht="15" customHeight="1" x14ac:dyDescent="0.2">
      <c r="A807" s="8" t="s">
        <v>1396</v>
      </c>
      <c r="B807" s="8" t="s">
        <v>1365</v>
      </c>
      <c r="C807" s="8" t="s">
        <v>560</v>
      </c>
      <c r="D807" s="29">
        <v>2016.2</v>
      </c>
      <c r="E807" s="29">
        <v>2020.4</v>
      </c>
      <c r="F807" s="29">
        <v>4.25</v>
      </c>
    </row>
    <row r="808" spans="1:6" ht="15" customHeight="1" x14ac:dyDescent="0.2">
      <c r="A808" s="8" t="s">
        <v>1397</v>
      </c>
      <c r="B808" s="8" t="s">
        <v>1367</v>
      </c>
      <c r="C808" s="8" t="s">
        <v>560</v>
      </c>
      <c r="D808" s="29">
        <v>2016.2</v>
      </c>
      <c r="E808" s="29">
        <v>2022.2</v>
      </c>
      <c r="F808" s="29">
        <v>6</v>
      </c>
    </row>
    <row r="809" spans="1:6" ht="15" customHeight="1" x14ac:dyDescent="0.2">
      <c r="A809" s="8" t="s">
        <v>1398</v>
      </c>
      <c r="B809" s="8" t="s">
        <v>1355</v>
      </c>
      <c r="C809" s="8" t="s">
        <v>560</v>
      </c>
      <c r="D809" s="29">
        <v>2016.2</v>
      </c>
      <c r="E809" s="29">
        <v>2021.9</v>
      </c>
      <c r="F809" s="29">
        <v>5.75</v>
      </c>
    </row>
    <row r="810" spans="1:6" ht="15" customHeight="1" x14ac:dyDescent="0.2">
      <c r="A810" s="8" t="s">
        <v>1399</v>
      </c>
      <c r="B810" s="8" t="s">
        <v>1365</v>
      </c>
      <c r="C810" s="8" t="s">
        <v>560</v>
      </c>
      <c r="D810" s="29">
        <v>2016.2</v>
      </c>
      <c r="E810" s="29">
        <v>2021.9</v>
      </c>
      <c r="F810" s="29">
        <v>5.75</v>
      </c>
    </row>
    <row r="811" spans="1:6" ht="15" customHeight="1" x14ac:dyDescent="0.2">
      <c r="A811" s="8" t="s">
        <v>1400</v>
      </c>
      <c r="B811" s="8" t="s">
        <v>1367</v>
      </c>
      <c r="C811" s="8" t="s">
        <v>560</v>
      </c>
      <c r="D811" s="29">
        <v>2016.2</v>
      </c>
      <c r="E811" s="29">
        <v>2020.9</v>
      </c>
      <c r="F811" s="29">
        <v>4.75</v>
      </c>
    </row>
    <row r="812" spans="1:6" ht="15" customHeight="1" x14ac:dyDescent="0.2">
      <c r="A812" s="8" t="s">
        <v>1401</v>
      </c>
      <c r="B812" s="8" t="s">
        <v>1367</v>
      </c>
      <c r="C812" s="8" t="s">
        <v>560</v>
      </c>
      <c r="D812" s="29">
        <v>2016.2</v>
      </c>
      <c r="E812" s="29">
        <v>2022.2</v>
      </c>
      <c r="F812" s="29">
        <v>6</v>
      </c>
    </row>
    <row r="813" spans="1:6" ht="15" customHeight="1" x14ac:dyDescent="0.2">
      <c r="A813" s="8" t="s">
        <v>1402</v>
      </c>
      <c r="B813" s="8" t="s">
        <v>1367</v>
      </c>
      <c r="C813" s="8" t="s">
        <v>560</v>
      </c>
      <c r="D813" s="29">
        <v>2016.2</v>
      </c>
      <c r="E813" s="29">
        <v>2020.8</v>
      </c>
      <c r="F813" s="29">
        <v>4.67</v>
      </c>
    </row>
    <row r="814" spans="1:6" ht="15" customHeight="1" x14ac:dyDescent="0.2">
      <c r="A814" s="8" t="s">
        <v>1403</v>
      </c>
      <c r="B814" s="8" t="s">
        <v>1355</v>
      </c>
      <c r="C814" s="8" t="s">
        <v>560</v>
      </c>
      <c r="D814" s="29">
        <v>2016.2</v>
      </c>
      <c r="E814" s="29">
        <v>2019.5</v>
      </c>
      <c r="F814" s="29">
        <v>3.33</v>
      </c>
    </row>
    <row r="815" spans="1:6" ht="15" customHeight="1" x14ac:dyDescent="0.2">
      <c r="A815" s="8" t="s">
        <v>1404</v>
      </c>
      <c r="B815" s="8" t="s">
        <v>1367</v>
      </c>
      <c r="C815" s="8" t="s">
        <v>560</v>
      </c>
      <c r="D815" s="29">
        <v>2016.2</v>
      </c>
      <c r="E815" s="29">
        <v>2020.9</v>
      </c>
      <c r="F815" s="29">
        <v>4.75</v>
      </c>
    </row>
    <row r="816" spans="1:6" ht="15" customHeight="1" x14ac:dyDescent="0.2">
      <c r="A816" s="8" t="s">
        <v>1405</v>
      </c>
      <c r="B816" s="8" t="s">
        <v>789</v>
      </c>
      <c r="C816" s="8" t="s">
        <v>560</v>
      </c>
      <c r="D816" s="29">
        <v>2016.2</v>
      </c>
      <c r="E816" s="29">
        <v>2020.9</v>
      </c>
      <c r="F816" s="29">
        <v>4.75</v>
      </c>
    </row>
    <row r="817" spans="1:6" ht="15" customHeight="1" x14ac:dyDescent="0.2">
      <c r="A817" s="8" t="s">
        <v>1406</v>
      </c>
      <c r="B817" s="8" t="s">
        <v>1367</v>
      </c>
      <c r="C817" s="8" t="s">
        <v>560</v>
      </c>
      <c r="D817" s="29">
        <v>2016.8</v>
      </c>
      <c r="E817" s="29">
        <v>2022</v>
      </c>
      <c r="F817" s="29">
        <v>5.25</v>
      </c>
    </row>
    <row r="818" spans="1:6" ht="15" customHeight="1" x14ac:dyDescent="0.2">
      <c r="A818" s="8" t="s">
        <v>1407</v>
      </c>
      <c r="B818" s="8" t="s">
        <v>777</v>
      </c>
      <c r="C818" s="8" t="s">
        <v>560</v>
      </c>
      <c r="D818" s="29">
        <v>2016.8</v>
      </c>
      <c r="E818" s="29">
        <v>2024</v>
      </c>
      <c r="F818" s="29">
        <v>7.25</v>
      </c>
    </row>
    <row r="819" spans="1:6" ht="15" customHeight="1" x14ac:dyDescent="0.2">
      <c r="A819" s="8" t="s">
        <v>1408</v>
      </c>
      <c r="B819" s="8" t="s">
        <v>1367</v>
      </c>
      <c r="C819" s="8" t="s">
        <v>560</v>
      </c>
      <c r="D819" s="29">
        <v>2020.9</v>
      </c>
      <c r="E819" s="29">
        <v>2024.2</v>
      </c>
      <c r="F819" s="29">
        <v>3.33</v>
      </c>
    </row>
    <row r="820" spans="1:6" ht="15" customHeight="1" x14ac:dyDescent="0.2">
      <c r="A820" s="8" t="s">
        <v>1409</v>
      </c>
      <c r="B820" s="8" t="s">
        <v>1367</v>
      </c>
      <c r="C820" s="8" t="s">
        <v>560</v>
      </c>
      <c r="D820" s="29">
        <v>2016.8</v>
      </c>
      <c r="E820" s="29">
        <v>2024</v>
      </c>
      <c r="F820" s="29">
        <v>7.25</v>
      </c>
    </row>
    <row r="821" spans="1:6" ht="15" customHeight="1" x14ac:dyDescent="0.2">
      <c r="A821" s="8" t="s">
        <v>1410</v>
      </c>
      <c r="B821" s="8" t="s">
        <v>800</v>
      </c>
      <c r="C821" s="8" t="s">
        <v>560</v>
      </c>
      <c r="D821" s="29">
        <v>2016.8</v>
      </c>
      <c r="E821" s="29">
        <v>2021.2</v>
      </c>
      <c r="F821" s="29">
        <v>4.33</v>
      </c>
    </row>
    <row r="822" spans="1:6" ht="15" customHeight="1" x14ac:dyDescent="0.2">
      <c r="A822" s="8" t="s">
        <v>1411</v>
      </c>
      <c r="B822" s="8" t="s">
        <v>1367</v>
      </c>
      <c r="C822" s="8" t="s">
        <v>560</v>
      </c>
      <c r="D822" s="29">
        <v>2016.8</v>
      </c>
      <c r="E822" s="29">
        <v>2021.7</v>
      </c>
      <c r="F822" s="29">
        <v>4.83</v>
      </c>
    </row>
    <row r="823" spans="1:6" ht="15" customHeight="1" x14ac:dyDescent="0.2">
      <c r="A823" s="8" t="s">
        <v>1412</v>
      </c>
      <c r="B823" s="8" t="s">
        <v>1363</v>
      </c>
      <c r="C823" s="8" t="s">
        <v>560</v>
      </c>
      <c r="D823" s="29">
        <v>2016.8</v>
      </c>
      <c r="E823" s="29">
        <v>2020.9</v>
      </c>
      <c r="F823" s="29">
        <v>4.08</v>
      </c>
    </row>
    <row r="824" spans="1:6" ht="15" customHeight="1" x14ac:dyDescent="0.2">
      <c r="A824" s="8" t="s">
        <v>1413</v>
      </c>
      <c r="B824" s="8" t="s">
        <v>1363</v>
      </c>
      <c r="C824" s="8" t="s">
        <v>560</v>
      </c>
      <c r="D824" s="29">
        <v>2016.8</v>
      </c>
      <c r="E824" s="29">
        <v>2020.9</v>
      </c>
      <c r="F824" s="29">
        <v>4.08</v>
      </c>
    </row>
    <row r="825" spans="1:6" ht="15" customHeight="1" x14ac:dyDescent="0.2">
      <c r="A825" s="8" t="s">
        <v>1414</v>
      </c>
      <c r="B825" s="8" t="s">
        <v>1363</v>
      </c>
      <c r="C825" s="8" t="s">
        <v>560</v>
      </c>
      <c r="D825" s="29">
        <v>2016.8</v>
      </c>
      <c r="E825" s="29">
        <v>2020.9</v>
      </c>
      <c r="F825" s="29">
        <v>4.08</v>
      </c>
    </row>
    <row r="826" spans="1:6" ht="15" customHeight="1" x14ac:dyDescent="0.2">
      <c r="A826" s="8" t="s">
        <v>1415</v>
      </c>
      <c r="B826" s="8" t="s">
        <v>1367</v>
      </c>
      <c r="C826" s="8" t="s">
        <v>560</v>
      </c>
      <c r="D826" s="29">
        <v>2016.8</v>
      </c>
      <c r="E826" s="29">
        <v>2021.8</v>
      </c>
      <c r="F826" s="29">
        <v>5</v>
      </c>
    </row>
    <row r="827" spans="1:6" ht="15" customHeight="1" x14ac:dyDescent="0.2">
      <c r="A827" s="8" t="s">
        <v>1416</v>
      </c>
      <c r="B827" s="8" t="s">
        <v>775</v>
      </c>
      <c r="C827" s="8" t="s">
        <v>560</v>
      </c>
      <c r="D827" s="29">
        <v>2016.8</v>
      </c>
      <c r="E827" s="29">
        <v>2024.9</v>
      </c>
      <c r="F827" s="29">
        <v>8.08</v>
      </c>
    </row>
    <row r="828" spans="1:6" ht="15" customHeight="1" x14ac:dyDescent="0.2">
      <c r="A828" s="8" t="s">
        <v>1417</v>
      </c>
      <c r="B828" s="8" t="s">
        <v>1367</v>
      </c>
      <c r="C828" s="8" t="s">
        <v>560</v>
      </c>
      <c r="D828" s="29">
        <v>2016.8</v>
      </c>
      <c r="E828" s="29">
        <v>2021.8</v>
      </c>
      <c r="F828" s="29">
        <v>4.92</v>
      </c>
    </row>
    <row r="829" spans="1:6" ht="15" customHeight="1" x14ac:dyDescent="0.2">
      <c r="A829" s="8" t="s">
        <v>1418</v>
      </c>
      <c r="B829" s="8" t="s">
        <v>1367</v>
      </c>
      <c r="C829" s="8" t="s">
        <v>560</v>
      </c>
      <c r="D829" s="29">
        <v>2016.8</v>
      </c>
      <c r="E829" s="29">
        <v>2020.4</v>
      </c>
      <c r="F829" s="29">
        <v>3.58</v>
      </c>
    </row>
    <row r="830" spans="1:6" ht="15" customHeight="1" x14ac:dyDescent="0.2">
      <c r="A830" s="8" t="s">
        <v>1419</v>
      </c>
      <c r="B830" s="8" t="s">
        <v>1355</v>
      </c>
      <c r="C830" s="8" t="s">
        <v>560</v>
      </c>
      <c r="D830" s="29">
        <v>2016.8</v>
      </c>
      <c r="E830" s="29">
        <v>2023.9</v>
      </c>
      <c r="F830" s="29">
        <v>7.08</v>
      </c>
    </row>
    <row r="831" spans="1:6" ht="15" customHeight="1" x14ac:dyDescent="0.2">
      <c r="A831" s="8" t="s">
        <v>1420</v>
      </c>
      <c r="B831" s="8" t="s">
        <v>1355</v>
      </c>
      <c r="C831" s="8" t="s">
        <v>560</v>
      </c>
      <c r="D831" s="29">
        <v>2016.8</v>
      </c>
      <c r="E831" s="29">
        <v>2023.9</v>
      </c>
      <c r="F831" s="29">
        <v>7.08</v>
      </c>
    </row>
    <row r="832" spans="1:6" ht="15" customHeight="1" x14ac:dyDescent="0.2">
      <c r="A832" s="8" t="s">
        <v>1421</v>
      </c>
      <c r="B832" s="8" t="s">
        <v>775</v>
      </c>
      <c r="C832" s="8" t="s">
        <v>560</v>
      </c>
      <c r="D832" s="29">
        <v>2016.8</v>
      </c>
      <c r="E832" s="29">
        <v>2020.9</v>
      </c>
      <c r="F832" s="29">
        <v>4.08</v>
      </c>
    </row>
    <row r="833" spans="1:6" ht="15" customHeight="1" x14ac:dyDescent="0.2">
      <c r="A833" s="8" t="s">
        <v>1422</v>
      </c>
      <c r="B833" s="8" t="s">
        <v>1355</v>
      </c>
      <c r="C833" s="8" t="s">
        <v>560</v>
      </c>
      <c r="D833" s="29">
        <v>2016.8</v>
      </c>
      <c r="E833" s="29">
        <v>2025.4</v>
      </c>
      <c r="F833" s="29">
        <v>8.58</v>
      </c>
    </row>
    <row r="834" spans="1:6" ht="15" customHeight="1" x14ac:dyDescent="0.2">
      <c r="A834" s="8" t="s">
        <v>1423</v>
      </c>
      <c r="B834" s="8" t="s">
        <v>1355</v>
      </c>
      <c r="C834" s="8" t="s">
        <v>560</v>
      </c>
      <c r="D834" s="29">
        <v>2016.8</v>
      </c>
      <c r="E834" s="29">
        <v>2020.8</v>
      </c>
      <c r="F834" s="29">
        <v>4</v>
      </c>
    </row>
    <row r="835" spans="1:6" ht="15" customHeight="1" x14ac:dyDescent="0.2">
      <c r="A835" s="8" t="s">
        <v>1424</v>
      </c>
      <c r="B835" s="8" t="s">
        <v>1355</v>
      </c>
      <c r="C835" s="8" t="s">
        <v>560</v>
      </c>
      <c r="D835" s="29">
        <v>2016.9</v>
      </c>
      <c r="E835" s="29">
        <v>2021.9</v>
      </c>
      <c r="F835" s="29">
        <v>5</v>
      </c>
    </row>
    <row r="836" spans="1:6" ht="15" customHeight="1" x14ac:dyDescent="0.2">
      <c r="A836" s="8" t="s">
        <v>1425</v>
      </c>
      <c r="B836" s="8" t="s">
        <v>789</v>
      </c>
      <c r="C836" s="8" t="s">
        <v>562</v>
      </c>
      <c r="D836" s="29">
        <v>2017</v>
      </c>
      <c r="E836" s="29">
        <v>2021.5</v>
      </c>
      <c r="F836" s="29">
        <v>4.5</v>
      </c>
    </row>
    <row r="837" spans="1:6" ht="15" customHeight="1" x14ac:dyDescent="0.2">
      <c r="A837" s="8" t="s">
        <v>1426</v>
      </c>
      <c r="B837" s="8" t="s">
        <v>1355</v>
      </c>
      <c r="C837" s="8" t="s">
        <v>560</v>
      </c>
      <c r="D837" s="29">
        <v>2017.2</v>
      </c>
      <c r="E837" s="29">
        <v>2021.9</v>
      </c>
      <c r="F837" s="29">
        <v>4.67</v>
      </c>
    </row>
    <row r="838" spans="1:6" ht="15" customHeight="1" x14ac:dyDescent="0.2">
      <c r="A838" s="8" t="s">
        <v>1427</v>
      </c>
      <c r="B838" s="8" t="s">
        <v>1355</v>
      </c>
      <c r="C838" s="8" t="s">
        <v>560</v>
      </c>
      <c r="D838" s="29">
        <v>2017.2</v>
      </c>
      <c r="E838" s="29">
        <v>2021.3</v>
      </c>
      <c r="F838" s="29">
        <v>4.08</v>
      </c>
    </row>
    <row r="839" spans="1:6" ht="15" customHeight="1" x14ac:dyDescent="0.2">
      <c r="A839" s="8" t="s">
        <v>1428</v>
      </c>
      <c r="B839" s="8" t="s">
        <v>775</v>
      </c>
      <c r="C839" s="8" t="s">
        <v>560</v>
      </c>
      <c r="D839" s="29">
        <v>2017.2</v>
      </c>
      <c r="E839" s="29">
        <v>2025.9</v>
      </c>
      <c r="F839" s="29">
        <v>8.67</v>
      </c>
    </row>
    <row r="840" spans="1:6" ht="15" customHeight="1" x14ac:dyDescent="0.2">
      <c r="A840" s="8" t="s">
        <v>1429</v>
      </c>
      <c r="B840" s="8" t="s">
        <v>1367</v>
      </c>
      <c r="C840" s="8" t="s">
        <v>560</v>
      </c>
      <c r="D840" s="29">
        <v>2017.3</v>
      </c>
      <c r="E840" s="29">
        <v>2021.9</v>
      </c>
      <c r="F840" s="29">
        <v>4.58</v>
      </c>
    </row>
    <row r="841" spans="1:6" ht="15" customHeight="1" x14ac:dyDescent="0.2">
      <c r="A841" s="8" t="s">
        <v>1430</v>
      </c>
      <c r="B841" s="8" t="s">
        <v>789</v>
      </c>
      <c r="C841" s="8" t="s">
        <v>560</v>
      </c>
      <c r="D841" s="29">
        <v>2017.3</v>
      </c>
      <c r="E841" s="29">
        <v>2024.9</v>
      </c>
      <c r="F841" s="29">
        <v>7.58</v>
      </c>
    </row>
    <row r="842" spans="1:6" ht="15" customHeight="1" x14ac:dyDescent="0.2">
      <c r="A842" s="8" t="s">
        <v>1431</v>
      </c>
      <c r="B842" s="8" t="s">
        <v>1367</v>
      </c>
      <c r="C842" s="8" t="s">
        <v>566</v>
      </c>
      <c r="D842" s="29">
        <v>2017.3</v>
      </c>
      <c r="E842" s="29">
        <v>2025.1</v>
      </c>
      <c r="F842" s="29">
        <v>7.75</v>
      </c>
    </row>
    <row r="843" spans="1:6" ht="15" customHeight="1" x14ac:dyDescent="0.2">
      <c r="A843" s="8" t="s">
        <v>1432</v>
      </c>
      <c r="B843" s="8" t="s">
        <v>1367</v>
      </c>
      <c r="C843" s="8" t="s">
        <v>560</v>
      </c>
      <c r="D843" s="29">
        <v>2017.3</v>
      </c>
      <c r="E843" s="29">
        <v>2024.9</v>
      </c>
      <c r="F843" s="29">
        <v>7.58</v>
      </c>
    </row>
    <row r="844" spans="1:6" ht="15" customHeight="1" x14ac:dyDescent="0.2">
      <c r="A844" s="8" t="s">
        <v>1433</v>
      </c>
      <c r="B844" s="8" t="s">
        <v>800</v>
      </c>
      <c r="C844" s="8" t="s">
        <v>560</v>
      </c>
      <c r="D844" s="29">
        <v>2017.3</v>
      </c>
      <c r="E844" s="29">
        <v>2021.2</v>
      </c>
      <c r="F844" s="29">
        <v>3.92</v>
      </c>
    </row>
    <row r="845" spans="1:6" ht="15" customHeight="1" x14ac:dyDescent="0.2">
      <c r="A845" s="8" t="s">
        <v>1434</v>
      </c>
      <c r="B845" s="8" t="s">
        <v>800</v>
      </c>
      <c r="C845" s="8" t="s">
        <v>560</v>
      </c>
      <c r="D845" s="29">
        <v>2017.3</v>
      </c>
      <c r="E845" s="29">
        <v>2020.9</v>
      </c>
      <c r="F845" s="29">
        <v>3.58</v>
      </c>
    </row>
    <row r="846" spans="1:6" ht="15" customHeight="1" x14ac:dyDescent="0.2">
      <c r="A846" s="8" t="s">
        <v>1435</v>
      </c>
      <c r="B846" s="8" t="s">
        <v>777</v>
      </c>
      <c r="C846" s="8" t="s">
        <v>560</v>
      </c>
      <c r="D846" s="29">
        <v>2017.3</v>
      </c>
      <c r="E846" s="29">
        <v>2023.8</v>
      </c>
      <c r="F846" s="29">
        <v>6.5</v>
      </c>
    </row>
    <row r="847" spans="1:6" ht="15" customHeight="1" x14ac:dyDescent="0.2">
      <c r="A847" s="8" t="s">
        <v>1436</v>
      </c>
      <c r="B847" s="8" t="s">
        <v>777</v>
      </c>
      <c r="C847" s="8" t="s">
        <v>566</v>
      </c>
      <c r="D847" s="29">
        <v>2017.3</v>
      </c>
      <c r="E847" s="29">
        <v>2024.4</v>
      </c>
      <c r="F847" s="29">
        <v>7.08</v>
      </c>
    </row>
    <row r="848" spans="1:6" ht="15" customHeight="1" x14ac:dyDescent="0.2">
      <c r="A848" s="8" t="s">
        <v>1437</v>
      </c>
      <c r="B848" s="8" t="s">
        <v>1355</v>
      </c>
      <c r="C848" s="8" t="s">
        <v>562</v>
      </c>
      <c r="D848" s="29">
        <v>2019.2</v>
      </c>
      <c r="E848" s="29">
        <v>2021.4</v>
      </c>
      <c r="F848" s="29">
        <v>2.17</v>
      </c>
    </row>
    <row r="849" spans="1:6" ht="15" customHeight="1" x14ac:dyDescent="0.2">
      <c r="A849" s="8" t="s">
        <v>1438</v>
      </c>
      <c r="B849" s="8" t="s">
        <v>1365</v>
      </c>
      <c r="C849" s="8" t="s">
        <v>566</v>
      </c>
      <c r="D849" s="29">
        <v>2020.2</v>
      </c>
      <c r="E849" s="29">
        <v>2024.3</v>
      </c>
      <c r="F849" s="29">
        <v>4.08</v>
      </c>
    </row>
    <row r="850" spans="1:6" ht="15" customHeight="1" x14ac:dyDescent="0.2">
      <c r="A850" s="8" t="s">
        <v>1439</v>
      </c>
      <c r="B850" s="8" t="s">
        <v>775</v>
      </c>
      <c r="C850" s="8" t="s">
        <v>562</v>
      </c>
      <c r="D850" s="29">
        <v>2020.2</v>
      </c>
      <c r="E850" s="29">
        <v>2021.8</v>
      </c>
      <c r="F850" s="29">
        <v>1.5</v>
      </c>
    </row>
    <row r="851" spans="1:6" ht="15" customHeight="1" x14ac:dyDescent="0.2">
      <c r="A851" s="8" t="s">
        <v>1440</v>
      </c>
      <c r="B851" s="8" t="s">
        <v>1365</v>
      </c>
      <c r="C851" s="8" t="s">
        <v>562</v>
      </c>
      <c r="D851" s="29">
        <v>2020.2</v>
      </c>
      <c r="E851" s="29">
        <v>2025.4</v>
      </c>
      <c r="F851" s="29">
        <v>5.17</v>
      </c>
    </row>
    <row r="852" spans="1:6" ht="15" customHeight="1" x14ac:dyDescent="0.2">
      <c r="A852" s="8" t="s">
        <v>1441</v>
      </c>
      <c r="B852" s="8" t="s">
        <v>1365</v>
      </c>
      <c r="C852" s="8" t="s">
        <v>562</v>
      </c>
      <c r="D852" s="29">
        <v>2020.2</v>
      </c>
      <c r="E852" s="29">
        <v>2025.4</v>
      </c>
      <c r="F852" s="29">
        <v>5.17</v>
      </c>
    </row>
    <row r="853" spans="1:6" ht="15" customHeight="1" x14ac:dyDescent="0.2">
      <c r="A853" s="8" t="s">
        <v>1442</v>
      </c>
      <c r="B853" s="8" t="s">
        <v>1365</v>
      </c>
      <c r="C853" s="8" t="s">
        <v>562</v>
      </c>
      <c r="D853" s="29">
        <v>2020.2</v>
      </c>
      <c r="E853" s="29">
        <v>2025.8</v>
      </c>
      <c r="F853" s="29">
        <v>5.58</v>
      </c>
    </row>
    <row r="854" spans="1:6" ht="15" customHeight="1" x14ac:dyDescent="0.2">
      <c r="A854" s="8" t="s">
        <v>1443</v>
      </c>
      <c r="B854" s="8" t="s">
        <v>1365</v>
      </c>
      <c r="C854" s="8" t="s">
        <v>562</v>
      </c>
      <c r="D854" s="29">
        <v>2020.2</v>
      </c>
      <c r="E854" s="29">
        <v>2025.8</v>
      </c>
      <c r="F854" s="29">
        <v>5.58</v>
      </c>
    </row>
    <row r="855" spans="1:6" ht="15" customHeight="1" x14ac:dyDescent="0.2">
      <c r="A855" s="8" t="s">
        <v>1444</v>
      </c>
      <c r="B855" s="8" t="s">
        <v>1365</v>
      </c>
      <c r="C855" s="8" t="s">
        <v>562</v>
      </c>
      <c r="D855" s="29">
        <v>2020.2</v>
      </c>
      <c r="E855" s="29">
        <v>2025.8</v>
      </c>
      <c r="F855" s="29">
        <v>5.58</v>
      </c>
    </row>
    <row r="856" spans="1:6" ht="15" customHeight="1" x14ac:dyDescent="0.2">
      <c r="A856" s="8" t="s">
        <v>1445</v>
      </c>
      <c r="B856" s="8" t="s">
        <v>800</v>
      </c>
      <c r="C856" s="8" t="s">
        <v>566</v>
      </c>
      <c r="D856" s="29">
        <v>2021.6</v>
      </c>
      <c r="E856" s="29">
        <v>2023</v>
      </c>
      <c r="F856" s="29">
        <v>1.42</v>
      </c>
    </row>
    <row r="857" spans="1:6" ht="15" customHeight="1" x14ac:dyDescent="0.2">
      <c r="A857" s="8" t="s">
        <v>1446</v>
      </c>
      <c r="B857" s="8" t="s">
        <v>1363</v>
      </c>
      <c r="C857" s="8" t="s">
        <v>560</v>
      </c>
      <c r="D857" s="29">
        <v>2023.4</v>
      </c>
      <c r="E857" s="29">
        <v>2024.9</v>
      </c>
      <c r="F857" s="29">
        <v>1.5</v>
      </c>
    </row>
    <row r="858" spans="1:6" ht="15" customHeight="1" x14ac:dyDescent="0.2">
      <c r="A858" s="8" t="s">
        <v>1447</v>
      </c>
      <c r="B858" s="8" t="s">
        <v>1367</v>
      </c>
      <c r="C858" s="8" t="s">
        <v>564</v>
      </c>
      <c r="D858" s="29">
        <v>2023</v>
      </c>
      <c r="E858" s="29">
        <v>2025.2</v>
      </c>
      <c r="F858" s="29">
        <v>2.25</v>
      </c>
    </row>
    <row r="859" spans="1:6" ht="15" customHeight="1" x14ac:dyDescent="0.2">
      <c r="A859" s="8" t="s">
        <v>1448</v>
      </c>
      <c r="B859" s="8" t="s">
        <v>1367</v>
      </c>
      <c r="C859" s="8" t="s">
        <v>564</v>
      </c>
      <c r="D859" s="29">
        <v>2023.4</v>
      </c>
      <c r="E859" s="29">
        <v>2025.2</v>
      </c>
      <c r="F859" s="29">
        <v>1.83</v>
      </c>
    </row>
    <row r="860" spans="1:6" ht="15" customHeight="1" x14ac:dyDescent="0.2">
      <c r="A860" s="8" t="s">
        <v>1449</v>
      </c>
      <c r="B860" s="8" t="s">
        <v>1450</v>
      </c>
      <c r="C860" s="8" t="s">
        <v>566</v>
      </c>
      <c r="D860" s="29">
        <v>2021.2</v>
      </c>
      <c r="E860" s="29">
        <v>2024.7</v>
      </c>
      <c r="F860" s="29">
        <v>3.5</v>
      </c>
    </row>
    <row r="861" spans="1:6" ht="15" customHeight="1" x14ac:dyDescent="0.2">
      <c r="A861" s="8" t="s">
        <v>1451</v>
      </c>
      <c r="B861" s="8" t="s">
        <v>1363</v>
      </c>
      <c r="C861" s="8" t="s">
        <v>566</v>
      </c>
      <c r="D861" s="29">
        <v>2021.2</v>
      </c>
      <c r="E861" s="29">
        <v>2023.8</v>
      </c>
      <c r="F861" s="29">
        <v>2.67</v>
      </c>
    </row>
    <row r="862" spans="1:6" ht="15" customHeight="1" x14ac:dyDescent="0.2">
      <c r="A862" s="8" t="s">
        <v>1452</v>
      </c>
      <c r="B862" s="8" t="s">
        <v>1450</v>
      </c>
      <c r="C862" s="8" t="s">
        <v>560</v>
      </c>
      <c r="D862" s="29">
        <v>2021.2</v>
      </c>
      <c r="E862" s="29">
        <v>2021.8</v>
      </c>
      <c r="F862" s="29">
        <v>0.57999999999999996</v>
      </c>
    </row>
    <row r="863" spans="1:6" ht="15" customHeight="1" x14ac:dyDescent="0.2">
      <c r="A863" s="8" t="s">
        <v>1453</v>
      </c>
      <c r="B863" s="8" t="s">
        <v>1450</v>
      </c>
      <c r="C863" s="8" t="s">
        <v>566</v>
      </c>
      <c r="D863" s="29">
        <v>2021.2</v>
      </c>
      <c r="E863" s="29">
        <v>2024.3</v>
      </c>
      <c r="F863" s="29">
        <v>3.17</v>
      </c>
    </row>
    <row r="864" spans="1:6" ht="15" customHeight="1" x14ac:dyDescent="0.2">
      <c r="A864" s="8" t="s">
        <v>1454</v>
      </c>
      <c r="B864" s="8" t="s">
        <v>1450</v>
      </c>
      <c r="C864" s="8" t="s">
        <v>560</v>
      </c>
      <c r="D864" s="29">
        <v>2017.1</v>
      </c>
      <c r="E864" s="29">
        <v>2020.7</v>
      </c>
      <c r="F864" s="29">
        <v>3.58</v>
      </c>
    </row>
    <row r="865" spans="1:6" ht="15" customHeight="1" x14ac:dyDescent="0.2">
      <c r="A865" s="8" t="s">
        <v>1455</v>
      </c>
      <c r="B865" s="8" t="s">
        <v>1450</v>
      </c>
      <c r="C865" s="8" t="s">
        <v>566</v>
      </c>
      <c r="D865" s="29">
        <v>2018.6</v>
      </c>
      <c r="E865" s="29">
        <v>2024.4</v>
      </c>
      <c r="F865" s="29">
        <v>5.83</v>
      </c>
    </row>
    <row r="866" spans="1:6" ht="15" customHeight="1" x14ac:dyDescent="0.2">
      <c r="A866" s="8" t="s">
        <v>1456</v>
      </c>
      <c r="B866" s="8" t="s">
        <v>1450</v>
      </c>
      <c r="C866" s="8" t="s">
        <v>560</v>
      </c>
      <c r="D866" s="29">
        <v>2018.6</v>
      </c>
      <c r="E866" s="29">
        <v>2022.4</v>
      </c>
      <c r="F866" s="29">
        <v>3.83</v>
      </c>
    </row>
    <row r="867" spans="1:6" ht="15" customHeight="1" x14ac:dyDescent="0.2">
      <c r="A867" s="8" t="s">
        <v>1457</v>
      </c>
      <c r="B867" s="8" t="s">
        <v>789</v>
      </c>
      <c r="C867" s="8" t="s">
        <v>560</v>
      </c>
      <c r="D867" s="29">
        <v>2009.2</v>
      </c>
      <c r="E867" s="29">
        <v>2021.4</v>
      </c>
      <c r="F867" s="29">
        <v>12.17</v>
      </c>
    </row>
    <row r="868" spans="1:6" ht="15" customHeight="1" x14ac:dyDescent="0.2">
      <c r="A868" s="8" t="s">
        <v>1458</v>
      </c>
      <c r="B868" s="8" t="s">
        <v>789</v>
      </c>
      <c r="C868" s="8" t="s">
        <v>560</v>
      </c>
      <c r="D868" s="29">
        <v>2010.7</v>
      </c>
      <c r="E868" s="29">
        <v>2019.6</v>
      </c>
      <c r="F868" s="29">
        <v>8.92</v>
      </c>
    </row>
    <row r="869" spans="1:6" ht="15" customHeight="1" x14ac:dyDescent="0.2">
      <c r="A869" s="8" t="s">
        <v>1459</v>
      </c>
      <c r="B869" s="8" t="s">
        <v>789</v>
      </c>
      <c r="C869" s="8" t="s">
        <v>560</v>
      </c>
      <c r="D869" s="29">
        <v>2010.9</v>
      </c>
      <c r="E869" s="29">
        <v>2020.2</v>
      </c>
      <c r="F869" s="29">
        <v>9.33</v>
      </c>
    </row>
    <row r="870" spans="1:6" ht="15" customHeight="1" x14ac:dyDescent="0.2">
      <c r="A870" s="8" t="s">
        <v>1460</v>
      </c>
      <c r="B870" s="8" t="s">
        <v>789</v>
      </c>
      <c r="C870" s="8" t="s">
        <v>560</v>
      </c>
      <c r="D870" s="29">
        <v>2010.5</v>
      </c>
      <c r="E870" s="29">
        <v>2019.5</v>
      </c>
      <c r="F870" s="29">
        <v>9</v>
      </c>
    </row>
    <row r="871" spans="1:6" ht="15" customHeight="1" x14ac:dyDescent="0.2">
      <c r="A871" s="8" t="s">
        <v>1461</v>
      </c>
      <c r="B871" s="8" t="s">
        <v>789</v>
      </c>
      <c r="C871" s="8" t="s">
        <v>560</v>
      </c>
      <c r="D871" s="29">
        <v>2011</v>
      </c>
      <c r="E871" s="29">
        <v>2021.2</v>
      </c>
      <c r="F871" s="29">
        <v>10.25</v>
      </c>
    </row>
    <row r="872" spans="1:6" ht="15" customHeight="1" x14ac:dyDescent="0.2">
      <c r="A872" s="8" t="s">
        <v>1462</v>
      </c>
      <c r="B872" s="8" t="s">
        <v>789</v>
      </c>
      <c r="C872" s="8" t="s">
        <v>560</v>
      </c>
      <c r="D872" s="29">
        <v>2012.5</v>
      </c>
      <c r="E872" s="29">
        <v>2024.2</v>
      </c>
      <c r="F872" s="29">
        <v>11.75</v>
      </c>
    </row>
    <row r="873" spans="1:6" ht="15" customHeight="1" x14ac:dyDescent="0.2">
      <c r="A873" s="8" t="s">
        <v>1463</v>
      </c>
      <c r="B873" s="8" t="s">
        <v>789</v>
      </c>
      <c r="C873" s="8" t="s">
        <v>566</v>
      </c>
      <c r="D873" s="29">
        <v>2013</v>
      </c>
      <c r="E873" s="29">
        <v>2019.9</v>
      </c>
      <c r="F873" s="29">
        <v>6.92</v>
      </c>
    </row>
    <row r="874" spans="1:6" ht="15" customHeight="1" x14ac:dyDescent="0.2">
      <c r="A874" s="8" t="s">
        <v>1464</v>
      </c>
      <c r="B874" s="8" t="s">
        <v>789</v>
      </c>
      <c r="C874" s="8" t="s">
        <v>560</v>
      </c>
      <c r="D874" s="29">
        <v>2013</v>
      </c>
      <c r="E874" s="29">
        <v>2019.8</v>
      </c>
      <c r="F874" s="29">
        <v>6.83</v>
      </c>
    </row>
    <row r="875" spans="1:6" ht="15" customHeight="1" x14ac:dyDescent="0.2">
      <c r="A875" s="8" t="s">
        <v>1465</v>
      </c>
      <c r="B875" s="8" t="s">
        <v>789</v>
      </c>
      <c r="C875" s="8" t="s">
        <v>560</v>
      </c>
      <c r="D875" s="29">
        <v>2013.1</v>
      </c>
      <c r="E875" s="29">
        <v>2022.3</v>
      </c>
      <c r="F875" s="29">
        <v>9.25</v>
      </c>
    </row>
    <row r="876" spans="1:6" ht="15" customHeight="1" x14ac:dyDescent="0.2">
      <c r="A876" s="8" t="s">
        <v>1466</v>
      </c>
      <c r="B876" s="8" t="s">
        <v>789</v>
      </c>
      <c r="C876" s="8" t="s">
        <v>566</v>
      </c>
      <c r="D876" s="29">
        <v>2013.7</v>
      </c>
      <c r="E876" s="29">
        <v>2021.8</v>
      </c>
      <c r="F876" s="29">
        <v>8.08</v>
      </c>
    </row>
    <row r="877" spans="1:6" ht="15" customHeight="1" x14ac:dyDescent="0.2">
      <c r="A877" s="8" t="s">
        <v>1467</v>
      </c>
      <c r="B877" s="8" t="s">
        <v>789</v>
      </c>
      <c r="C877" s="8" t="s">
        <v>566</v>
      </c>
      <c r="D877" s="29">
        <v>2013.8</v>
      </c>
      <c r="E877" s="29">
        <v>2023.2</v>
      </c>
      <c r="F877" s="29">
        <v>9.33</v>
      </c>
    </row>
    <row r="878" spans="1:6" ht="15" customHeight="1" x14ac:dyDescent="0.2">
      <c r="A878" s="8" t="s">
        <v>1468</v>
      </c>
      <c r="B878" s="8" t="s">
        <v>789</v>
      </c>
      <c r="C878" s="8" t="s">
        <v>761</v>
      </c>
      <c r="D878" s="29">
        <v>2015.2</v>
      </c>
      <c r="E878" s="29">
        <v>2021.6</v>
      </c>
      <c r="F878" s="29">
        <v>6.33</v>
      </c>
    </row>
    <row r="879" spans="1:6" ht="15" customHeight="1" x14ac:dyDescent="0.2">
      <c r="A879" s="8" t="s">
        <v>1469</v>
      </c>
      <c r="B879" s="8" t="s">
        <v>789</v>
      </c>
      <c r="C879" s="8" t="s">
        <v>562</v>
      </c>
      <c r="D879" s="29">
        <v>2011.9</v>
      </c>
      <c r="E879" s="29">
        <v>2019.9</v>
      </c>
      <c r="F879" s="29">
        <v>8</v>
      </c>
    </row>
    <row r="880" spans="1:6" ht="15" customHeight="1" x14ac:dyDescent="0.2">
      <c r="A880" s="8" t="s">
        <v>1470</v>
      </c>
      <c r="B880" s="8" t="s">
        <v>789</v>
      </c>
      <c r="C880" s="8" t="s">
        <v>566</v>
      </c>
      <c r="D880" s="29">
        <v>2013.8</v>
      </c>
      <c r="E880" s="29">
        <v>2019.8</v>
      </c>
      <c r="F880" s="29">
        <v>6</v>
      </c>
    </row>
    <row r="881" spans="1:6" ht="15" customHeight="1" x14ac:dyDescent="0.2">
      <c r="A881" s="8" t="s">
        <v>1471</v>
      </c>
      <c r="B881" s="8" t="s">
        <v>789</v>
      </c>
      <c r="C881" s="8" t="s">
        <v>562</v>
      </c>
      <c r="D881" s="29">
        <v>2015.2</v>
      </c>
      <c r="E881" s="29">
        <v>2022.8</v>
      </c>
      <c r="F881" s="29">
        <v>7.58</v>
      </c>
    </row>
    <row r="882" spans="1:6" ht="15" customHeight="1" x14ac:dyDescent="0.2">
      <c r="A882" s="8" t="s">
        <v>1472</v>
      </c>
      <c r="B882" s="8" t="s">
        <v>789</v>
      </c>
      <c r="C882" s="8" t="s">
        <v>560</v>
      </c>
      <c r="D882" s="29">
        <v>2014.7</v>
      </c>
      <c r="E882" s="29">
        <v>2019.3</v>
      </c>
      <c r="F882" s="29">
        <v>4.67</v>
      </c>
    </row>
    <row r="883" spans="1:6" ht="15" customHeight="1" x14ac:dyDescent="0.2">
      <c r="A883" s="8" t="s">
        <v>1473</v>
      </c>
      <c r="B883" s="8" t="s">
        <v>789</v>
      </c>
      <c r="C883" s="8" t="s">
        <v>562</v>
      </c>
      <c r="D883" s="29">
        <v>2015</v>
      </c>
      <c r="E883" s="29">
        <v>2020.5</v>
      </c>
      <c r="F883" s="29">
        <v>5.5</v>
      </c>
    </row>
    <row r="884" spans="1:6" ht="15" customHeight="1" x14ac:dyDescent="0.2">
      <c r="A884" s="8" t="s">
        <v>1474</v>
      </c>
      <c r="B884" s="8" t="s">
        <v>789</v>
      </c>
      <c r="C884" s="8" t="s">
        <v>560</v>
      </c>
      <c r="D884" s="29">
        <v>2015.1</v>
      </c>
      <c r="E884" s="29">
        <v>2022.4</v>
      </c>
      <c r="F884" s="29">
        <v>7.33</v>
      </c>
    </row>
    <row r="885" spans="1:6" ht="15" customHeight="1" x14ac:dyDescent="0.2">
      <c r="A885" s="8" t="s">
        <v>1475</v>
      </c>
      <c r="B885" s="8" t="s">
        <v>789</v>
      </c>
      <c r="C885" s="8" t="s">
        <v>560</v>
      </c>
      <c r="D885" s="29">
        <v>2015.3</v>
      </c>
      <c r="E885" s="29">
        <v>2021.9</v>
      </c>
      <c r="F885" s="29">
        <v>6.58</v>
      </c>
    </row>
    <row r="886" spans="1:6" ht="15" customHeight="1" x14ac:dyDescent="0.2">
      <c r="A886" s="8" t="s">
        <v>1476</v>
      </c>
      <c r="B886" s="8" t="s">
        <v>789</v>
      </c>
      <c r="C886" s="8" t="s">
        <v>560</v>
      </c>
      <c r="D886" s="29">
        <v>2013.7</v>
      </c>
      <c r="E886" s="29">
        <v>2019.1</v>
      </c>
      <c r="F886" s="29">
        <v>5.42</v>
      </c>
    </row>
    <row r="887" spans="1:6" ht="15" customHeight="1" x14ac:dyDescent="0.2">
      <c r="A887" s="8" t="s">
        <v>1477</v>
      </c>
      <c r="B887" s="8" t="s">
        <v>789</v>
      </c>
      <c r="C887" s="8" t="s">
        <v>566</v>
      </c>
      <c r="D887" s="29">
        <v>2014.8</v>
      </c>
      <c r="E887" s="29">
        <v>2021.8</v>
      </c>
      <c r="F887" s="29">
        <v>7</v>
      </c>
    </row>
    <row r="888" spans="1:6" ht="15" customHeight="1" x14ac:dyDescent="0.2">
      <c r="A888" s="8" t="s">
        <v>1478</v>
      </c>
      <c r="B888" s="8" t="s">
        <v>789</v>
      </c>
      <c r="C888" s="8" t="s">
        <v>566</v>
      </c>
      <c r="D888" s="29">
        <v>2014.8</v>
      </c>
      <c r="E888" s="29">
        <v>2021.8</v>
      </c>
      <c r="F888" s="29">
        <v>7</v>
      </c>
    </row>
    <row r="889" spans="1:6" ht="15" customHeight="1" x14ac:dyDescent="0.2">
      <c r="A889" s="8" t="s">
        <v>1479</v>
      </c>
      <c r="B889" s="8" t="s">
        <v>789</v>
      </c>
      <c r="C889" s="8" t="s">
        <v>560</v>
      </c>
      <c r="D889" s="29">
        <v>2015.2</v>
      </c>
      <c r="E889" s="29">
        <v>2022.6</v>
      </c>
      <c r="F889" s="29">
        <v>7.42</v>
      </c>
    </row>
    <row r="890" spans="1:6" ht="15" customHeight="1" x14ac:dyDescent="0.2">
      <c r="A890" s="8" t="s">
        <v>1480</v>
      </c>
      <c r="B890" s="8" t="s">
        <v>789</v>
      </c>
      <c r="C890" s="8" t="s">
        <v>560</v>
      </c>
      <c r="D890" s="29">
        <v>2015.3</v>
      </c>
      <c r="E890" s="29">
        <v>2021.4</v>
      </c>
      <c r="F890" s="29">
        <v>6.08</v>
      </c>
    </row>
    <row r="891" spans="1:6" ht="15" customHeight="1" x14ac:dyDescent="0.2">
      <c r="A891" s="8" t="s">
        <v>1481</v>
      </c>
      <c r="B891" s="8" t="s">
        <v>789</v>
      </c>
      <c r="C891" s="8" t="s">
        <v>560</v>
      </c>
      <c r="D891" s="29">
        <v>2015.8</v>
      </c>
      <c r="E891" s="29">
        <v>2023.5</v>
      </c>
      <c r="F891" s="29">
        <v>7.75</v>
      </c>
    </row>
    <row r="892" spans="1:6" ht="15" customHeight="1" x14ac:dyDescent="0.2">
      <c r="A892" s="8" t="s">
        <v>1482</v>
      </c>
      <c r="B892" s="8" t="s">
        <v>789</v>
      </c>
      <c r="C892" s="8" t="s">
        <v>560</v>
      </c>
      <c r="D892" s="29">
        <v>2016.2</v>
      </c>
      <c r="E892" s="29">
        <v>2020.8</v>
      </c>
      <c r="F892" s="29">
        <v>4.67</v>
      </c>
    </row>
    <row r="893" spans="1:6" ht="15" customHeight="1" x14ac:dyDescent="0.2">
      <c r="A893" s="8" t="s">
        <v>1483</v>
      </c>
      <c r="B893" s="8" t="s">
        <v>789</v>
      </c>
      <c r="C893" s="8" t="s">
        <v>562</v>
      </c>
      <c r="D893" s="29">
        <v>2016.2</v>
      </c>
      <c r="E893" s="29">
        <v>2019.4</v>
      </c>
      <c r="F893" s="29">
        <v>3.17</v>
      </c>
    </row>
    <row r="894" spans="1:6" ht="15" customHeight="1" x14ac:dyDescent="0.2">
      <c r="A894" s="8" t="s">
        <v>1484</v>
      </c>
      <c r="B894" s="8" t="s">
        <v>789</v>
      </c>
      <c r="C894" s="8" t="s">
        <v>560</v>
      </c>
      <c r="D894" s="29">
        <v>2017.6</v>
      </c>
      <c r="E894" s="29">
        <v>2025.9</v>
      </c>
      <c r="F894" s="29">
        <v>8.33</v>
      </c>
    </row>
    <row r="895" spans="1:6" ht="15" customHeight="1" x14ac:dyDescent="0.2">
      <c r="A895" s="8" t="s">
        <v>1485</v>
      </c>
      <c r="B895" s="8" t="s">
        <v>789</v>
      </c>
      <c r="C895" s="8" t="s">
        <v>560</v>
      </c>
      <c r="D895" s="29">
        <v>2015.8</v>
      </c>
      <c r="E895" s="29">
        <v>2019.8</v>
      </c>
      <c r="F895" s="29">
        <v>4.08</v>
      </c>
    </row>
    <row r="896" spans="1:6" ht="15" customHeight="1" x14ac:dyDescent="0.2">
      <c r="A896" s="8" t="s">
        <v>1486</v>
      </c>
      <c r="B896" s="8" t="s">
        <v>789</v>
      </c>
      <c r="C896" s="8" t="s">
        <v>560</v>
      </c>
      <c r="D896" s="29">
        <v>2015.8</v>
      </c>
      <c r="E896" s="29">
        <v>2021.3</v>
      </c>
      <c r="F896" s="29">
        <v>5.5</v>
      </c>
    </row>
    <row r="897" spans="1:6" ht="15" customHeight="1" x14ac:dyDescent="0.2">
      <c r="A897" s="8" t="s">
        <v>1487</v>
      </c>
      <c r="B897" s="8" t="s">
        <v>789</v>
      </c>
      <c r="C897" s="8" t="s">
        <v>560</v>
      </c>
      <c r="D897" s="29">
        <v>2015.8</v>
      </c>
      <c r="E897" s="29">
        <v>2020.4</v>
      </c>
      <c r="F897" s="29">
        <v>4.58</v>
      </c>
    </row>
    <row r="898" spans="1:6" ht="15" customHeight="1" x14ac:dyDescent="0.2">
      <c r="A898" s="8" t="s">
        <v>1488</v>
      </c>
      <c r="B898" s="8" t="s">
        <v>789</v>
      </c>
      <c r="C898" s="8" t="s">
        <v>560</v>
      </c>
      <c r="D898" s="29">
        <v>2016.2</v>
      </c>
      <c r="E898" s="29">
        <v>2019.2</v>
      </c>
      <c r="F898" s="29">
        <v>3</v>
      </c>
    </row>
    <row r="899" spans="1:6" ht="15" customHeight="1" x14ac:dyDescent="0.2">
      <c r="A899" s="8" t="s">
        <v>1489</v>
      </c>
      <c r="B899" s="8" t="s">
        <v>789</v>
      </c>
      <c r="C899" s="8" t="s">
        <v>560</v>
      </c>
      <c r="D899" s="29">
        <v>2016.5</v>
      </c>
      <c r="E899" s="29">
        <v>2021.8</v>
      </c>
      <c r="F899" s="29">
        <v>5.25</v>
      </c>
    </row>
    <row r="900" spans="1:6" ht="15" customHeight="1" x14ac:dyDescent="0.2">
      <c r="A900" s="8" t="s">
        <v>1490</v>
      </c>
      <c r="B900" s="8" t="s">
        <v>789</v>
      </c>
      <c r="C900" s="8" t="s">
        <v>562</v>
      </c>
      <c r="D900" s="29">
        <v>2016.6</v>
      </c>
      <c r="E900" s="29">
        <v>2020.1</v>
      </c>
      <c r="F900" s="29">
        <v>3.5</v>
      </c>
    </row>
    <row r="901" spans="1:6" ht="15" customHeight="1" x14ac:dyDescent="0.2">
      <c r="A901" s="8" t="s">
        <v>1491</v>
      </c>
      <c r="B901" s="8" t="s">
        <v>789</v>
      </c>
      <c r="C901" s="8" t="s">
        <v>560</v>
      </c>
      <c r="D901" s="29">
        <v>2016.8</v>
      </c>
      <c r="E901" s="29">
        <v>2021.7</v>
      </c>
      <c r="F901" s="29">
        <v>4.92</v>
      </c>
    </row>
    <row r="902" spans="1:6" ht="15" customHeight="1" x14ac:dyDescent="0.2">
      <c r="A902" s="8" t="s">
        <v>1492</v>
      </c>
      <c r="B902" s="8" t="s">
        <v>789</v>
      </c>
      <c r="C902" s="8" t="s">
        <v>566</v>
      </c>
      <c r="D902" s="29">
        <v>2016.8</v>
      </c>
      <c r="E902" s="29">
        <v>2020.6</v>
      </c>
      <c r="F902" s="29">
        <v>3.83</v>
      </c>
    </row>
    <row r="903" spans="1:6" ht="15" customHeight="1" x14ac:dyDescent="0.2">
      <c r="A903" s="8" t="s">
        <v>1493</v>
      </c>
      <c r="B903" s="8" t="s">
        <v>789</v>
      </c>
      <c r="C903" s="8" t="s">
        <v>1494</v>
      </c>
      <c r="D903" s="29">
        <v>2016.8</v>
      </c>
      <c r="E903" s="29">
        <v>2024.2</v>
      </c>
      <c r="F903" s="29">
        <v>7.5</v>
      </c>
    </row>
    <row r="904" spans="1:6" ht="15" customHeight="1" x14ac:dyDescent="0.2">
      <c r="A904" s="8" t="s">
        <v>1495</v>
      </c>
      <c r="B904" s="8" t="s">
        <v>789</v>
      </c>
      <c r="C904" s="8" t="s">
        <v>566</v>
      </c>
      <c r="D904" s="29">
        <v>2016.8</v>
      </c>
      <c r="E904" s="29">
        <v>2021.9</v>
      </c>
      <c r="F904" s="29">
        <v>5.17</v>
      </c>
    </row>
    <row r="905" spans="1:6" ht="15" customHeight="1" x14ac:dyDescent="0.2">
      <c r="A905" s="8" t="s">
        <v>1496</v>
      </c>
      <c r="B905" s="8" t="s">
        <v>789</v>
      </c>
      <c r="C905" s="8" t="s">
        <v>566</v>
      </c>
      <c r="D905" s="29">
        <v>2016.8</v>
      </c>
      <c r="E905" s="29">
        <v>2023.8</v>
      </c>
      <c r="F905" s="29">
        <v>6.92</v>
      </c>
    </row>
    <row r="906" spans="1:6" ht="15" customHeight="1" x14ac:dyDescent="0.2">
      <c r="A906" s="8" t="s">
        <v>1497</v>
      </c>
      <c r="B906" s="8" t="s">
        <v>789</v>
      </c>
      <c r="C906" s="8" t="s">
        <v>566</v>
      </c>
      <c r="D906" s="29">
        <v>2016.9</v>
      </c>
      <c r="E906" s="29">
        <v>2023.8</v>
      </c>
      <c r="F906" s="29">
        <v>6.83</v>
      </c>
    </row>
    <row r="907" spans="1:6" ht="15" customHeight="1" x14ac:dyDescent="0.2">
      <c r="A907" s="8" t="s">
        <v>1498</v>
      </c>
      <c r="B907" s="8" t="s">
        <v>789</v>
      </c>
      <c r="C907" s="8" t="s">
        <v>566</v>
      </c>
      <c r="D907" s="29">
        <v>2016.9</v>
      </c>
      <c r="E907" s="29">
        <v>2021.9</v>
      </c>
      <c r="F907" s="29">
        <v>5</v>
      </c>
    </row>
    <row r="908" spans="1:6" ht="15" customHeight="1" x14ac:dyDescent="0.2">
      <c r="A908" s="8" t="s">
        <v>1499</v>
      </c>
      <c r="B908" s="8" t="s">
        <v>789</v>
      </c>
      <c r="C908" s="8" t="s">
        <v>560</v>
      </c>
      <c r="D908" s="29">
        <v>2017</v>
      </c>
      <c r="E908" s="29">
        <v>2021.4</v>
      </c>
      <c r="F908" s="29">
        <v>4.42</v>
      </c>
    </row>
    <row r="909" spans="1:6" ht="15" customHeight="1" x14ac:dyDescent="0.2">
      <c r="A909" s="8" t="s">
        <v>1500</v>
      </c>
      <c r="B909" s="8" t="s">
        <v>789</v>
      </c>
      <c r="C909" s="8" t="s">
        <v>566</v>
      </c>
      <c r="D909" s="29">
        <v>2017.1</v>
      </c>
      <c r="E909" s="29">
        <v>2022.3</v>
      </c>
      <c r="F909" s="29">
        <v>5.25</v>
      </c>
    </row>
    <row r="910" spans="1:6" ht="15" customHeight="1" x14ac:dyDescent="0.2">
      <c r="A910" s="8" t="s">
        <v>1501</v>
      </c>
      <c r="B910" s="8" t="s">
        <v>789</v>
      </c>
      <c r="C910" s="8" t="s">
        <v>566</v>
      </c>
      <c r="D910" s="29">
        <v>2017.1</v>
      </c>
      <c r="E910" s="29">
        <v>2021.8</v>
      </c>
      <c r="F910" s="29">
        <v>4.67</v>
      </c>
    </row>
    <row r="911" spans="1:6" ht="15" customHeight="1" x14ac:dyDescent="0.2">
      <c r="A911" s="8" t="s">
        <v>1502</v>
      </c>
      <c r="B911" s="8" t="s">
        <v>789</v>
      </c>
      <c r="C911" s="8" t="s">
        <v>560</v>
      </c>
      <c r="D911" s="29">
        <v>2017.5</v>
      </c>
      <c r="E911" s="29">
        <v>2019.3</v>
      </c>
      <c r="F911" s="29">
        <v>1.83</v>
      </c>
    </row>
    <row r="912" spans="1:6" ht="15" customHeight="1" x14ac:dyDescent="0.2">
      <c r="A912" s="8" t="s">
        <v>1503</v>
      </c>
      <c r="B912" s="8" t="s">
        <v>789</v>
      </c>
      <c r="C912" s="8" t="s">
        <v>1494</v>
      </c>
      <c r="D912" s="29">
        <v>2017.8</v>
      </c>
      <c r="E912" s="29">
        <v>2020.2</v>
      </c>
      <c r="F912" s="29">
        <v>2.42</v>
      </c>
    </row>
    <row r="913" spans="1:6" ht="15" customHeight="1" x14ac:dyDescent="0.2">
      <c r="A913" s="8" t="s">
        <v>1504</v>
      </c>
      <c r="B913" s="8" t="s">
        <v>789</v>
      </c>
      <c r="C913" s="8" t="s">
        <v>562</v>
      </c>
      <c r="D913" s="29">
        <v>2018.2</v>
      </c>
      <c r="E913" s="29">
        <v>2022.6</v>
      </c>
      <c r="F913" s="29">
        <v>4.33</v>
      </c>
    </row>
    <row r="914" spans="1:6" ht="15" customHeight="1" x14ac:dyDescent="0.2">
      <c r="A914" s="8" t="s">
        <v>1505</v>
      </c>
      <c r="B914" s="8" t="s">
        <v>789</v>
      </c>
      <c r="C914" s="8" t="s">
        <v>562</v>
      </c>
      <c r="D914" s="29">
        <v>2018.2</v>
      </c>
      <c r="E914" s="29">
        <v>2022.4</v>
      </c>
      <c r="F914" s="29">
        <v>4.17</v>
      </c>
    </row>
    <row r="915" spans="1:6" ht="15" customHeight="1" x14ac:dyDescent="0.2">
      <c r="A915" s="8" t="s">
        <v>1506</v>
      </c>
      <c r="B915" s="8" t="s">
        <v>789</v>
      </c>
      <c r="C915" s="8" t="s">
        <v>560</v>
      </c>
      <c r="D915" s="29">
        <v>2018.3</v>
      </c>
      <c r="E915" s="29">
        <v>2020.2</v>
      </c>
      <c r="F915" s="29">
        <v>1.92</v>
      </c>
    </row>
    <row r="916" spans="1:6" ht="15" customHeight="1" x14ac:dyDescent="0.2">
      <c r="A916" s="8" t="s">
        <v>1507</v>
      </c>
      <c r="B916" s="8" t="s">
        <v>789</v>
      </c>
      <c r="C916" s="8" t="s">
        <v>566</v>
      </c>
      <c r="D916" s="29">
        <v>2015.8</v>
      </c>
      <c r="E916" s="29">
        <v>2024.2</v>
      </c>
      <c r="F916" s="29">
        <v>8.42</v>
      </c>
    </row>
    <row r="917" spans="1:6" ht="15" customHeight="1" x14ac:dyDescent="0.2">
      <c r="A917" s="8" t="s">
        <v>1508</v>
      </c>
      <c r="B917" s="8" t="s">
        <v>789</v>
      </c>
      <c r="C917" s="8" t="s">
        <v>566</v>
      </c>
      <c r="D917" s="29">
        <v>2016.5</v>
      </c>
      <c r="E917" s="29">
        <v>2020</v>
      </c>
      <c r="F917" s="29">
        <v>3.5</v>
      </c>
    </row>
    <row r="918" spans="1:6" ht="15" customHeight="1" x14ac:dyDescent="0.2">
      <c r="A918" s="8" t="s">
        <v>1509</v>
      </c>
      <c r="B918" s="8" t="s">
        <v>789</v>
      </c>
      <c r="C918" s="8" t="s">
        <v>562</v>
      </c>
      <c r="D918" s="29">
        <v>2016.7</v>
      </c>
      <c r="E918" s="29">
        <v>2023</v>
      </c>
      <c r="F918" s="29">
        <v>6.33</v>
      </c>
    </row>
    <row r="919" spans="1:6" ht="15" customHeight="1" x14ac:dyDescent="0.2">
      <c r="A919" s="8" t="s">
        <v>1510</v>
      </c>
      <c r="B919" s="8" t="s">
        <v>789</v>
      </c>
      <c r="C919" s="8" t="s">
        <v>560</v>
      </c>
      <c r="D919" s="29">
        <v>2016.8</v>
      </c>
      <c r="E919" s="29">
        <v>2019.9</v>
      </c>
      <c r="F919" s="29">
        <v>3.17</v>
      </c>
    </row>
    <row r="920" spans="1:6" ht="15" customHeight="1" x14ac:dyDescent="0.2">
      <c r="A920" s="8" t="s">
        <v>1511</v>
      </c>
      <c r="B920" s="8" t="s">
        <v>789</v>
      </c>
      <c r="C920" s="8" t="s">
        <v>566</v>
      </c>
      <c r="D920" s="29">
        <v>2017</v>
      </c>
      <c r="E920" s="29">
        <v>2019.8</v>
      </c>
      <c r="F920" s="29">
        <v>2.83</v>
      </c>
    </row>
    <row r="921" spans="1:6" ht="15" customHeight="1" x14ac:dyDescent="0.2">
      <c r="A921" s="8" t="s">
        <v>1512</v>
      </c>
      <c r="B921" s="8" t="s">
        <v>789</v>
      </c>
      <c r="C921" s="8" t="s">
        <v>566</v>
      </c>
      <c r="D921" s="29">
        <v>2017.1</v>
      </c>
      <c r="E921" s="29">
        <v>2021.1</v>
      </c>
      <c r="F921" s="29">
        <v>4</v>
      </c>
    </row>
    <row r="922" spans="1:6" ht="15" customHeight="1" x14ac:dyDescent="0.2">
      <c r="A922" s="8" t="s">
        <v>1513</v>
      </c>
      <c r="B922" s="8" t="s">
        <v>789</v>
      </c>
      <c r="C922" s="8" t="s">
        <v>560</v>
      </c>
      <c r="D922" s="29">
        <v>2017.2</v>
      </c>
      <c r="E922" s="29">
        <v>2021.5</v>
      </c>
      <c r="F922" s="29">
        <v>4.33</v>
      </c>
    </row>
    <row r="923" spans="1:6" ht="15" customHeight="1" x14ac:dyDescent="0.2">
      <c r="A923" s="8" t="s">
        <v>1514</v>
      </c>
      <c r="B923" s="8" t="s">
        <v>789</v>
      </c>
      <c r="C923" s="8" t="s">
        <v>566</v>
      </c>
      <c r="D923" s="29">
        <v>2017.2</v>
      </c>
      <c r="E923" s="29">
        <v>2021.8</v>
      </c>
      <c r="F923" s="29">
        <v>4.58</v>
      </c>
    </row>
    <row r="924" spans="1:6" ht="15" customHeight="1" x14ac:dyDescent="0.2">
      <c r="A924" s="8" t="s">
        <v>1515</v>
      </c>
      <c r="B924" s="8" t="s">
        <v>789</v>
      </c>
      <c r="C924" s="8" t="s">
        <v>566</v>
      </c>
      <c r="D924" s="29">
        <v>2017.2</v>
      </c>
      <c r="E924" s="29">
        <v>2022.8</v>
      </c>
      <c r="F924" s="29">
        <v>5.58</v>
      </c>
    </row>
    <row r="925" spans="1:6" ht="15" customHeight="1" x14ac:dyDescent="0.2">
      <c r="A925" s="8" t="s">
        <v>1516</v>
      </c>
      <c r="B925" s="8" t="s">
        <v>789</v>
      </c>
      <c r="C925" s="8" t="s">
        <v>560</v>
      </c>
      <c r="D925" s="29">
        <v>2017.2</v>
      </c>
      <c r="E925" s="29">
        <v>2021.3</v>
      </c>
      <c r="F925" s="29">
        <v>4.08</v>
      </c>
    </row>
    <row r="926" spans="1:6" ht="15" customHeight="1" x14ac:dyDescent="0.2">
      <c r="A926" s="8" t="s">
        <v>1517</v>
      </c>
      <c r="B926" s="8" t="s">
        <v>789</v>
      </c>
      <c r="C926" s="8" t="s">
        <v>560</v>
      </c>
      <c r="D926" s="29">
        <v>2017.2</v>
      </c>
      <c r="E926" s="29">
        <v>2022.9</v>
      </c>
      <c r="F926" s="29">
        <v>5.67</v>
      </c>
    </row>
    <row r="927" spans="1:6" ht="15" customHeight="1" x14ac:dyDescent="0.2">
      <c r="A927" s="8" t="s">
        <v>1518</v>
      </c>
      <c r="B927" s="8" t="s">
        <v>789</v>
      </c>
      <c r="C927" s="8" t="s">
        <v>560</v>
      </c>
      <c r="D927" s="29">
        <v>2017.2</v>
      </c>
      <c r="E927" s="29">
        <v>2021.5</v>
      </c>
      <c r="F927" s="29">
        <v>4.25</v>
      </c>
    </row>
    <row r="928" spans="1:6" ht="15" customHeight="1" x14ac:dyDescent="0.2">
      <c r="A928" s="8" t="s">
        <v>1519</v>
      </c>
      <c r="B928" s="8" t="s">
        <v>789</v>
      </c>
      <c r="C928" s="8" t="s">
        <v>562</v>
      </c>
      <c r="D928" s="29">
        <v>2017.2</v>
      </c>
      <c r="E928" s="29">
        <v>2022.4</v>
      </c>
      <c r="F928" s="29">
        <v>5.17</v>
      </c>
    </row>
    <row r="929" spans="1:6" ht="15" customHeight="1" x14ac:dyDescent="0.2">
      <c r="A929" s="8" t="s">
        <v>1520</v>
      </c>
      <c r="B929" s="8" t="s">
        <v>789</v>
      </c>
      <c r="C929" s="8" t="s">
        <v>562</v>
      </c>
      <c r="D929" s="29">
        <v>2017.2</v>
      </c>
      <c r="E929" s="29">
        <v>2022</v>
      </c>
      <c r="F929" s="29">
        <v>4.75</v>
      </c>
    </row>
    <row r="930" spans="1:6" ht="15" customHeight="1" x14ac:dyDescent="0.2">
      <c r="A930" s="8" t="s">
        <v>1521</v>
      </c>
      <c r="B930" s="8" t="s">
        <v>789</v>
      </c>
      <c r="C930" s="8" t="s">
        <v>566</v>
      </c>
      <c r="D930" s="29">
        <v>2017.3</v>
      </c>
      <c r="E930" s="29">
        <v>2023.7</v>
      </c>
      <c r="F930" s="29">
        <v>6.33</v>
      </c>
    </row>
    <row r="931" spans="1:6" ht="15" customHeight="1" x14ac:dyDescent="0.2">
      <c r="A931" s="8" t="s">
        <v>1522</v>
      </c>
      <c r="B931" s="8" t="s">
        <v>789</v>
      </c>
      <c r="C931" s="8" t="s">
        <v>560</v>
      </c>
      <c r="D931" s="29">
        <v>2017.3</v>
      </c>
      <c r="E931" s="29">
        <v>2019.8</v>
      </c>
      <c r="F931" s="29">
        <v>2.5</v>
      </c>
    </row>
    <row r="932" spans="1:6" ht="15" customHeight="1" x14ac:dyDescent="0.2">
      <c r="A932" s="8" t="s">
        <v>1523</v>
      </c>
      <c r="B932" s="8" t="s">
        <v>789</v>
      </c>
      <c r="C932" s="8" t="s">
        <v>566</v>
      </c>
      <c r="D932" s="29">
        <v>2017.4</v>
      </c>
      <c r="E932" s="29">
        <v>2022</v>
      </c>
      <c r="F932" s="29">
        <v>4.58</v>
      </c>
    </row>
    <row r="933" spans="1:6" ht="15" customHeight="1" x14ac:dyDescent="0.2">
      <c r="A933" s="8" t="s">
        <v>1524</v>
      </c>
      <c r="B933" s="8" t="s">
        <v>789</v>
      </c>
      <c r="C933" s="8" t="s">
        <v>566</v>
      </c>
      <c r="D933" s="29">
        <v>2017.3</v>
      </c>
      <c r="E933" s="29">
        <v>2020.5</v>
      </c>
      <c r="F933" s="29">
        <v>3.17</v>
      </c>
    </row>
    <row r="934" spans="1:6" ht="15" customHeight="1" x14ac:dyDescent="0.2">
      <c r="A934" s="8" t="s">
        <v>1525</v>
      </c>
      <c r="B934" s="8" t="s">
        <v>789</v>
      </c>
      <c r="C934" s="8" t="s">
        <v>566</v>
      </c>
      <c r="D934" s="29">
        <v>2017.3</v>
      </c>
      <c r="E934" s="29">
        <v>2021.9</v>
      </c>
      <c r="F934" s="29">
        <v>4.58</v>
      </c>
    </row>
    <row r="935" spans="1:6" ht="15" customHeight="1" x14ac:dyDescent="0.2">
      <c r="A935" s="8" t="s">
        <v>1526</v>
      </c>
      <c r="B935" s="8" t="s">
        <v>789</v>
      </c>
      <c r="C935" s="8" t="s">
        <v>566</v>
      </c>
      <c r="D935" s="29">
        <v>2017.4</v>
      </c>
      <c r="E935" s="29">
        <v>2021.7</v>
      </c>
      <c r="F935" s="29">
        <v>4.25</v>
      </c>
    </row>
    <row r="936" spans="1:6" ht="15" customHeight="1" x14ac:dyDescent="0.2">
      <c r="A936" s="8" t="s">
        <v>1527</v>
      </c>
      <c r="B936" s="8" t="s">
        <v>789</v>
      </c>
      <c r="C936" s="8" t="s">
        <v>566</v>
      </c>
      <c r="D936" s="29">
        <v>2017.4</v>
      </c>
      <c r="E936" s="29">
        <v>2020.4</v>
      </c>
      <c r="F936" s="29">
        <v>3</v>
      </c>
    </row>
    <row r="937" spans="1:6" ht="15" customHeight="1" x14ac:dyDescent="0.2">
      <c r="A937" s="8" t="s">
        <v>1528</v>
      </c>
      <c r="B937" s="8" t="s">
        <v>789</v>
      </c>
      <c r="C937" s="8" t="s">
        <v>566</v>
      </c>
      <c r="D937" s="29">
        <v>2017.5</v>
      </c>
      <c r="E937" s="29">
        <v>2019.9</v>
      </c>
      <c r="F937" s="29">
        <v>2.42</v>
      </c>
    </row>
    <row r="938" spans="1:6" ht="15" customHeight="1" x14ac:dyDescent="0.2">
      <c r="A938" s="8" t="s">
        <v>1529</v>
      </c>
      <c r="B938" s="8" t="s">
        <v>789</v>
      </c>
      <c r="C938" s="8" t="s">
        <v>560</v>
      </c>
      <c r="D938" s="29">
        <v>2017.7</v>
      </c>
      <c r="E938" s="29">
        <v>2022</v>
      </c>
      <c r="F938" s="29">
        <v>4.33</v>
      </c>
    </row>
    <row r="939" spans="1:6" ht="15" customHeight="1" x14ac:dyDescent="0.2">
      <c r="A939" s="8" t="s">
        <v>1530</v>
      </c>
      <c r="B939" s="8" t="s">
        <v>789</v>
      </c>
      <c r="C939" s="8" t="s">
        <v>566</v>
      </c>
      <c r="D939" s="29">
        <v>2017.6</v>
      </c>
      <c r="E939" s="29">
        <v>2020.8</v>
      </c>
      <c r="F939" s="29">
        <v>3.17</v>
      </c>
    </row>
    <row r="940" spans="1:6" ht="15" customHeight="1" x14ac:dyDescent="0.2">
      <c r="A940" s="8" t="s">
        <v>1531</v>
      </c>
      <c r="B940" s="8" t="s">
        <v>789</v>
      </c>
      <c r="C940" s="8" t="s">
        <v>1494</v>
      </c>
      <c r="D940" s="29">
        <v>2017.7</v>
      </c>
      <c r="E940" s="29">
        <v>2024.2</v>
      </c>
      <c r="F940" s="29">
        <v>6.58</v>
      </c>
    </row>
    <row r="941" spans="1:6" ht="15" customHeight="1" x14ac:dyDescent="0.2">
      <c r="A941" s="8" t="s">
        <v>1532</v>
      </c>
      <c r="B941" s="8" t="s">
        <v>789</v>
      </c>
      <c r="C941" s="8" t="s">
        <v>566</v>
      </c>
      <c r="D941" s="29">
        <v>2017.6</v>
      </c>
      <c r="E941" s="29">
        <v>2021.8</v>
      </c>
      <c r="F941" s="29">
        <v>4.17</v>
      </c>
    </row>
    <row r="942" spans="1:6" ht="15" customHeight="1" x14ac:dyDescent="0.2">
      <c r="A942" s="8" t="s">
        <v>1533</v>
      </c>
      <c r="B942" s="8" t="s">
        <v>789</v>
      </c>
      <c r="C942" s="8" t="s">
        <v>560</v>
      </c>
      <c r="D942" s="29">
        <v>2017.7</v>
      </c>
      <c r="E942" s="29">
        <v>2022.7</v>
      </c>
      <c r="F942" s="29">
        <v>5</v>
      </c>
    </row>
    <row r="943" spans="1:6" ht="15" customHeight="1" x14ac:dyDescent="0.2">
      <c r="A943" s="8" t="s">
        <v>1534</v>
      </c>
      <c r="B943" s="8" t="s">
        <v>789</v>
      </c>
      <c r="C943" s="8" t="s">
        <v>566</v>
      </c>
      <c r="D943" s="29">
        <v>2017.7</v>
      </c>
      <c r="E943" s="29">
        <v>2023.5</v>
      </c>
      <c r="F943" s="29">
        <v>5.83</v>
      </c>
    </row>
    <row r="944" spans="1:6" ht="15" customHeight="1" x14ac:dyDescent="0.2">
      <c r="A944" s="8" t="s">
        <v>1535</v>
      </c>
      <c r="B944" s="8" t="s">
        <v>789</v>
      </c>
      <c r="C944" s="8" t="s">
        <v>560</v>
      </c>
      <c r="D944" s="29">
        <v>2018.5</v>
      </c>
      <c r="E944" s="29">
        <v>2023</v>
      </c>
      <c r="F944" s="29">
        <v>4.5</v>
      </c>
    </row>
    <row r="945" spans="1:6" ht="15" customHeight="1" x14ac:dyDescent="0.2">
      <c r="A945" s="8" t="s">
        <v>1536</v>
      </c>
      <c r="B945" s="8" t="s">
        <v>789</v>
      </c>
      <c r="C945" s="8" t="s">
        <v>566</v>
      </c>
      <c r="D945" s="29">
        <v>2017.9</v>
      </c>
      <c r="E945" s="29">
        <v>2021.6</v>
      </c>
      <c r="F945" s="29">
        <v>3.67</v>
      </c>
    </row>
    <row r="946" spans="1:6" ht="15" customHeight="1" x14ac:dyDescent="0.2">
      <c r="A946" s="8" t="s">
        <v>1537</v>
      </c>
      <c r="B946" s="8" t="s">
        <v>789</v>
      </c>
      <c r="C946" s="8" t="s">
        <v>761</v>
      </c>
      <c r="D946" s="29">
        <v>2017.9</v>
      </c>
      <c r="E946" s="29">
        <v>2025.9</v>
      </c>
      <c r="F946" s="29">
        <v>8</v>
      </c>
    </row>
    <row r="947" spans="1:6" ht="15" customHeight="1" x14ac:dyDescent="0.2">
      <c r="A947" s="8" t="s">
        <v>1538</v>
      </c>
      <c r="B947" s="8" t="s">
        <v>789</v>
      </c>
      <c r="C947" s="8" t="s">
        <v>560</v>
      </c>
      <c r="D947" s="29">
        <v>2017.9</v>
      </c>
      <c r="E947" s="29">
        <v>2021.4</v>
      </c>
      <c r="F947" s="29">
        <v>3.5</v>
      </c>
    </row>
    <row r="948" spans="1:6" ht="15" customHeight="1" x14ac:dyDescent="0.2">
      <c r="A948" s="8" t="s">
        <v>1539</v>
      </c>
      <c r="B948" s="8" t="s">
        <v>789</v>
      </c>
      <c r="C948" s="8" t="s">
        <v>560</v>
      </c>
      <c r="D948" s="29">
        <v>2016.2</v>
      </c>
      <c r="E948" s="29">
        <v>2022.3</v>
      </c>
      <c r="F948" s="29">
        <v>6.17</v>
      </c>
    </row>
    <row r="949" spans="1:6" ht="15" customHeight="1" x14ac:dyDescent="0.2">
      <c r="A949" s="8" t="s">
        <v>1540</v>
      </c>
      <c r="B949" s="8" t="s">
        <v>789</v>
      </c>
      <c r="C949" s="8" t="s">
        <v>566</v>
      </c>
      <c r="D949" s="29">
        <v>2018.2</v>
      </c>
      <c r="E949" s="29">
        <v>2024.2</v>
      </c>
      <c r="F949" s="29">
        <v>6.08</v>
      </c>
    </row>
    <row r="950" spans="1:6" ht="15" customHeight="1" x14ac:dyDescent="0.2">
      <c r="A950" s="8" t="s">
        <v>1541</v>
      </c>
      <c r="B950" s="8" t="s">
        <v>789</v>
      </c>
      <c r="C950" s="8" t="s">
        <v>765</v>
      </c>
      <c r="D950" s="29">
        <v>2018.3</v>
      </c>
      <c r="E950" s="29">
        <v>2022.7</v>
      </c>
      <c r="F950" s="29">
        <v>4.33</v>
      </c>
    </row>
    <row r="951" spans="1:6" ht="15" customHeight="1" x14ac:dyDescent="0.2">
      <c r="A951" s="8" t="s">
        <v>1542</v>
      </c>
      <c r="B951" s="8" t="s">
        <v>789</v>
      </c>
      <c r="C951" s="8" t="s">
        <v>560</v>
      </c>
      <c r="D951" s="29">
        <v>2018.3</v>
      </c>
      <c r="E951" s="29">
        <v>2024.2</v>
      </c>
      <c r="F951" s="29">
        <v>5.83</v>
      </c>
    </row>
    <row r="952" spans="1:6" ht="15" customHeight="1" x14ac:dyDescent="0.2">
      <c r="A952" s="8" t="s">
        <v>1543</v>
      </c>
      <c r="B952" s="8" t="s">
        <v>789</v>
      </c>
      <c r="C952" s="8" t="s">
        <v>1494</v>
      </c>
      <c r="D952" s="29">
        <v>2018.4</v>
      </c>
      <c r="E952" s="29">
        <v>2019.8</v>
      </c>
      <c r="F952" s="29">
        <v>1.42</v>
      </c>
    </row>
    <row r="953" spans="1:6" ht="15" customHeight="1" x14ac:dyDescent="0.2">
      <c r="A953" s="8" t="s">
        <v>1544</v>
      </c>
      <c r="B953" s="8" t="s">
        <v>789</v>
      </c>
      <c r="C953" s="8" t="s">
        <v>566</v>
      </c>
      <c r="D953" s="29">
        <v>2018.5</v>
      </c>
      <c r="E953" s="29">
        <v>2021.1</v>
      </c>
      <c r="F953" s="29">
        <v>2.58</v>
      </c>
    </row>
    <row r="954" spans="1:6" ht="15" customHeight="1" x14ac:dyDescent="0.2">
      <c r="A954" s="8" t="s">
        <v>1545</v>
      </c>
      <c r="B954" s="8" t="s">
        <v>789</v>
      </c>
      <c r="C954" s="8" t="s">
        <v>566</v>
      </c>
      <c r="D954" s="29">
        <v>2018.5</v>
      </c>
      <c r="E954" s="29">
        <v>2020.4</v>
      </c>
      <c r="F954" s="29">
        <v>1.92</v>
      </c>
    </row>
    <row r="955" spans="1:6" ht="15" customHeight="1" x14ac:dyDescent="0.2">
      <c r="A955" s="8" t="s">
        <v>1546</v>
      </c>
      <c r="B955" s="8" t="s">
        <v>789</v>
      </c>
      <c r="C955" s="8" t="s">
        <v>566</v>
      </c>
      <c r="D955" s="29">
        <v>2018.8</v>
      </c>
      <c r="E955" s="29">
        <v>2024.2</v>
      </c>
      <c r="F955" s="29">
        <v>5.33</v>
      </c>
    </row>
    <row r="956" spans="1:6" ht="15" customHeight="1" x14ac:dyDescent="0.2">
      <c r="A956" s="8" t="s">
        <v>1547</v>
      </c>
      <c r="B956" s="8" t="s">
        <v>789</v>
      </c>
      <c r="C956" s="8" t="s">
        <v>796</v>
      </c>
      <c r="D956" s="29">
        <v>2019</v>
      </c>
      <c r="E956" s="29">
        <v>2019.4</v>
      </c>
      <c r="F956" s="29">
        <v>0.42</v>
      </c>
    </row>
    <row r="957" spans="1:6" ht="15" customHeight="1" x14ac:dyDescent="0.2">
      <c r="A957" s="8" t="s">
        <v>1548</v>
      </c>
      <c r="B957" s="8" t="s">
        <v>789</v>
      </c>
      <c r="C957" s="8" t="s">
        <v>562</v>
      </c>
      <c r="D957" s="29">
        <v>2019.1</v>
      </c>
      <c r="E957" s="29">
        <v>2019.8</v>
      </c>
      <c r="F957" s="29">
        <v>0.75</v>
      </c>
    </row>
    <row r="958" spans="1:6" ht="15" customHeight="1" x14ac:dyDescent="0.2">
      <c r="A958" s="8" t="s">
        <v>1549</v>
      </c>
      <c r="B958" s="8" t="s">
        <v>789</v>
      </c>
      <c r="C958" s="8" t="s">
        <v>562</v>
      </c>
      <c r="D958" s="29">
        <v>2019.3</v>
      </c>
      <c r="E958" s="29">
        <v>2019.4</v>
      </c>
      <c r="F958" s="29">
        <v>0.08</v>
      </c>
    </row>
    <row r="959" spans="1:6" ht="15" customHeight="1" x14ac:dyDescent="0.2">
      <c r="A959" s="8" t="s">
        <v>1550</v>
      </c>
      <c r="B959" s="8" t="s">
        <v>789</v>
      </c>
      <c r="C959" s="8" t="s">
        <v>560</v>
      </c>
      <c r="D959" s="29">
        <v>2017.4</v>
      </c>
      <c r="E959" s="29">
        <v>2019.5</v>
      </c>
      <c r="F959" s="29">
        <v>2.08</v>
      </c>
    </row>
    <row r="960" spans="1:6" ht="15" customHeight="1" x14ac:dyDescent="0.2">
      <c r="A960" s="8" t="s">
        <v>1551</v>
      </c>
      <c r="B960" s="8" t="s">
        <v>789</v>
      </c>
      <c r="C960" s="8" t="s">
        <v>566</v>
      </c>
      <c r="D960" s="29">
        <v>2017.6</v>
      </c>
      <c r="E960" s="29">
        <v>2024.2</v>
      </c>
      <c r="F960" s="29">
        <v>6.67</v>
      </c>
    </row>
    <row r="961" spans="1:6" ht="15" customHeight="1" x14ac:dyDescent="0.2">
      <c r="A961" s="8" t="s">
        <v>1552</v>
      </c>
      <c r="B961" s="8" t="s">
        <v>789</v>
      </c>
      <c r="C961" s="8" t="s">
        <v>566</v>
      </c>
      <c r="D961" s="29">
        <v>2017.8</v>
      </c>
      <c r="E961" s="29">
        <v>2020.9</v>
      </c>
      <c r="F961" s="29">
        <v>3.17</v>
      </c>
    </row>
    <row r="962" spans="1:6" ht="15" customHeight="1" x14ac:dyDescent="0.2">
      <c r="A962" s="8" t="s">
        <v>1553</v>
      </c>
      <c r="B962" s="8" t="s">
        <v>789</v>
      </c>
      <c r="C962" s="8" t="s">
        <v>566</v>
      </c>
      <c r="D962" s="29">
        <v>2017.8</v>
      </c>
      <c r="E962" s="29">
        <v>2021.8</v>
      </c>
      <c r="F962" s="29">
        <v>4.08</v>
      </c>
    </row>
    <row r="963" spans="1:6" ht="15" customHeight="1" x14ac:dyDescent="0.2">
      <c r="A963" s="8" t="s">
        <v>1554</v>
      </c>
      <c r="B963" s="8" t="s">
        <v>789</v>
      </c>
      <c r="C963" s="8" t="s">
        <v>566</v>
      </c>
      <c r="D963" s="29">
        <v>2017.8</v>
      </c>
      <c r="E963" s="29">
        <v>2021.6</v>
      </c>
      <c r="F963" s="29">
        <v>3.75</v>
      </c>
    </row>
    <row r="964" spans="1:6" ht="15" customHeight="1" x14ac:dyDescent="0.2">
      <c r="A964" s="8" t="s">
        <v>1555</v>
      </c>
      <c r="B964" s="8" t="s">
        <v>789</v>
      </c>
      <c r="C964" s="8" t="s">
        <v>560</v>
      </c>
      <c r="D964" s="29">
        <v>2017.9</v>
      </c>
      <c r="E964" s="29">
        <v>2024.9</v>
      </c>
      <c r="F964" s="29">
        <v>7</v>
      </c>
    </row>
    <row r="965" spans="1:6" ht="15" customHeight="1" x14ac:dyDescent="0.2">
      <c r="A965" s="8" t="s">
        <v>1556</v>
      </c>
      <c r="B965" s="8" t="s">
        <v>789</v>
      </c>
      <c r="C965" s="8" t="s">
        <v>560</v>
      </c>
      <c r="D965" s="29">
        <v>2017.9</v>
      </c>
      <c r="E965" s="29">
        <v>2021.4</v>
      </c>
      <c r="F965" s="29">
        <v>3.5</v>
      </c>
    </row>
    <row r="966" spans="1:6" ht="15" customHeight="1" x14ac:dyDescent="0.2">
      <c r="A966" s="8" t="s">
        <v>1557</v>
      </c>
      <c r="B966" s="8" t="s">
        <v>789</v>
      </c>
      <c r="C966" s="8" t="s">
        <v>560</v>
      </c>
      <c r="D966" s="29">
        <v>2018</v>
      </c>
      <c r="E966" s="29">
        <v>2022.2</v>
      </c>
      <c r="F966" s="29">
        <v>4.17</v>
      </c>
    </row>
    <row r="967" spans="1:6" ht="15" customHeight="1" x14ac:dyDescent="0.2">
      <c r="A967" s="8" t="s">
        <v>1558</v>
      </c>
      <c r="B967" s="8" t="s">
        <v>789</v>
      </c>
      <c r="C967" s="8" t="s">
        <v>560</v>
      </c>
      <c r="D967" s="29">
        <v>2018</v>
      </c>
      <c r="E967" s="29">
        <v>2022.2</v>
      </c>
      <c r="F967" s="29">
        <v>4.17</v>
      </c>
    </row>
    <row r="968" spans="1:6" ht="15" customHeight="1" x14ac:dyDescent="0.2">
      <c r="A968" s="8" t="s">
        <v>1559</v>
      </c>
      <c r="B968" s="8" t="s">
        <v>789</v>
      </c>
      <c r="C968" s="8" t="s">
        <v>560</v>
      </c>
      <c r="D968" s="29">
        <v>2018.2</v>
      </c>
      <c r="E968" s="29">
        <v>2021.8</v>
      </c>
      <c r="F968" s="29">
        <v>3.58</v>
      </c>
    </row>
    <row r="969" spans="1:6" ht="15" customHeight="1" x14ac:dyDescent="0.2">
      <c r="A969" s="8" t="s">
        <v>1560</v>
      </c>
      <c r="B969" s="8" t="s">
        <v>789</v>
      </c>
      <c r="C969" s="8" t="s">
        <v>566</v>
      </c>
      <c r="D969" s="29">
        <v>2018.1</v>
      </c>
      <c r="E969" s="29">
        <v>2021.4</v>
      </c>
      <c r="F969" s="29">
        <v>3.33</v>
      </c>
    </row>
    <row r="970" spans="1:6" ht="15" customHeight="1" x14ac:dyDescent="0.2">
      <c r="A970" s="8" t="s">
        <v>1561</v>
      </c>
      <c r="B970" s="8" t="s">
        <v>789</v>
      </c>
      <c r="C970" s="8" t="s">
        <v>560</v>
      </c>
      <c r="D970" s="29">
        <v>2018.2</v>
      </c>
      <c r="E970" s="29">
        <v>2023.3</v>
      </c>
      <c r="F970" s="29">
        <v>5.08</v>
      </c>
    </row>
    <row r="971" spans="1:6" ht="15" customHeight="1" x14ac:dyDescent="0.2">
      <c r="A971" s="8" t="s">
        <v>1562</v>
      </c>
      <c r="B971" s="8" t="s">
        <v>789</v>
      </c>
      <c r="C971" s="8" t="s">
        <v>566</v>
      </c>
      <c r="D971" s="29">
        <v>2018.2</v>
      </c>
      <c r="E971" s="29">
        <v>2023.8</v>
      </c>
      <c r="F971" s="29">
        <v>5.58</v>
      </c>
    </row>
    <row r="972" spans="1:6" ht="15" customHeight="1" x14ac:dyDescent="0.2">
      <c r="A972" s="8" t="s">
        <v>1563</v>
      </c>
      <c r="B972" s="8" t="s">
        <v>789</v>
      </c>
      <c r="C972" s="8" t="s">
        <v>761</v>
      </c>
      <c r="D972" s="29">
        <v>2018.3</v>
      </c>
      <c r="E972" s="29">
        <v>2024.5</v>
      </c>
      <c r="F972" s="29">
        <v>6.17</v>
      </c>
    </row>
    <row r="973" spans="1:6" ht="15" customHeight="1" x14ac:dyDescent="0.2">
      <c r="A973" s="8" t="s">
        <v>1564</v>
      </c>
      <c r="B973" s="8" t="s">
        <v>789</v>
      </c>
      <c r="C973" s="8" t="s">
        <v>566</v>
      </c>
      <c r="D973" s="29">
        <v>2018.2</v>
      </c>
      <c r="E973" s="29">
        <v>2022.9</v>
      </c>
      <c r="F973" s="29">
        <v>4.67</v>
      </c>
    </row>
    <row r="974" spans="1:6" ht="15" customHeight="1" x14ac:dyDescent="0.2">
      <c r="A974" s="8" t="s">
        <v>1565</v>
      </c>
      <c r="B974" s="8" t="s">
        <v>789</v>
      </c>
      <c r="C974" s="8" t="s">
        <v>566</v>
      </c>
      <c r="D974" s="29">
        <v>2018.2</v>
      </c>
      <c r="E974" s="29">
        <v>2022.9</v>
      </c>
      <c r="F974" s="29">
        <v>4.67</v>
      </c>
    </row>
    <row r="975" spans="1:6" ht="15" customHeight="1" x14ac:dyDescent="0.2">
      <c r="A975" s="8" t="s">
        <v>1566</v>
      </c>
      <c r="B975" s="8" t="s">
        <v>789</v>
      </c>
      <c r="C975" s="8" t="s">
        <v>560</v>
      </c>
      <c r="D975" s="29">
        <v>2018.3</v>
      </c>
      <c r="E975" s="29">
        <v>2021.8</v>
      </c>
      <c r="F975" s="29">
        <v>3.42</v>
      </c>
    </row>
    <row r="976" spans="1:6" ht="15" customHeight="1" x14ac:dyDescent="0.2">
      <c r="A976" s="8" t="s">
        <v>1567</v>
      </c>
      <c r="B976" s="8" t="s">
        <v>789</v>
      </c>
      <c r="C976" s="8" t="s">
        <v>765</v>
      </c>
      <c r="D976" s="29">
        <v>2018.3</v>
      </c>
      <c r="E976" s="29">
        <v>2021.8</v>
      </c>
      <c r="F976" s="29">
        <v>3.42</v>
      </c>
    </row>
    <row r="977" spans="1:6" ht="15" customHeight="1" x14ac:dyDescent="0.2">
      <c r="A977" s="8" t="s">
        <v>1568</v>
      </c>
      <c r="B977" s="8" t="s">
        <v>789</v>
      </c>
      <c r="C977" s="8" t="s">
        <v>566</v>
      </c>
      <c r="D977" s="29">
        <v>2018.4</v>
      </c>
      <c r="E977" s="29">
        <v>2023</v>
      </c>
      <c r="F977" s="29">
        <v>4.58</v>
      </c>
    </row>
    <row r="978" spans="1:6" ht="15" customHeight="1" x14ac:dyDescent="0.2">
      <c r="A978" s="8" t="s">
        <v>1569</v>
      </c>
      <c r="B978" s="8" t="s">
        <v>789</v>
      </c>
      <c r="C978" s="8" t="s">
        <v>566</v>
      </c>
      <c r="D978" s="29">
        <v>2018.4</v>
      </c>
      <c r="E978" s="29">
        <v>2022.8</v>
      </c>
      <c r="F978" s="29">
        <v>4.42</v>
      </c>
    </row>
    <row r="979" spans="1:6" ht="15" customHeight="1" x14ac:dyDescent="0.2">
      <c r="A979" s="8" t="s">
        <v>1570</v>
      </c>
      <c r="B979" s="8" t="s">
        <v>789</v>
      </c>
      <c r="C979" s="8" t="s">
        <v>560</v>
      </c>
      <c r="D979" s="29">
        <v>2018.4</v>
      </c>
      <c r="E979" s="29">
        <v>2024.2</v>
      </c>
      <c r="F979" s="29">
        <v>5.83</v>
      </c>
    </row>
    <row r="980" spans="1:6" ht="15" customHeight="1" x14ac:dyDescent="0.2">
      <c r="A980" s="8" t="s">
        <v>1571</v>
      </c>
      <c r="B980" s="8" t="s">
        <v>789</v>
      </c>
      <c r="C980" s="8" t="s">
        <v>566</v>
      </c>
      <c r="D980" s="29">
        <v>2018.8</v>
      </c>
      <c r="E980" s="29">
        <v>2025.5</v>
      </c>
      <c r="F980" s="29">
        <v>6.75</v>
      </c>
    </row>
    <row r="981" spans="1:6" ht="15" customHeight="1" x14ac:dyDescent="0.2">
      <c r="A981" s="8" t="s">
        <v>1572</v>
      </c>
      <c r="B981" s="8" t="s">
        <v>789</v>
      </c>
      <c r="C981" s="8" t="s">
        <v>560</v>
      </c>
      <c r="D981" s="29">
        <v>2018.6</v>
      </c>
      <c r="E981" s="29">
        <v>2022</v>
      </c>
      <c r="F981" s="29">
        <v>3.42</v>
      </c>
    </row>
    <row r="982" spans="1:6" ht="15" customHeight="1" x14ac:dyDescent="0.2">
      <c r="A982" s="8" t="s">
        <v>1573</v>
      </c>
      <c r="B982" s="8" t="s">
        <v>789</v>
      </c>
      <c r="C982" s="8" t="s">
        <v>566</v>
      </c>
      <c r="D982" s="29">
        <v>2018.6</v>
      </c>
      <c r="E982" s="29">
        <v>2023.6</v>
      </c>
      <c r="F982" s="29">
        <v>5</v>
      </c>
    </row>
    <row r="983" spans="1:6" ht="15" customHeight="1" x14ac:dyDescent="0.2">
      <c r="A983" s="8" t="s">
        <v>1574</v>
      </c>
      <c r="B983" s="8" t="s">
        <v>789</v>
      </c>
      <c r="C983" s="8" t="s">
        <v>566</v>
      </c>
      <c r="D983" s="29">
        <v>2018.8</v>
      </c>
      <c r="E983" s="29">
        <v>2021.2</v>
      </c>
      <c r="F983" s="29">
        <v>2.5</v>
      </c>
    </row>
    <row r="984" spans="1:6" ht="15" customHeight="1" x14ac:dyDescent="0.2">
      <c r="A984" s="8" t="s">
        <v>1575</v>
      </c>
      <c r="B984" s="8" t="s">
        <v>789</v>
      </c>
      <c r="C984" s="8" t="s">
        <v>562</v>
      </c>
      <c r="D984" s="29">
        <v>2018.8</v>
      </c>
      <c r="E984" s="29">
        <v>2021.2</v>
      </c>
      <c r="F984" s="29">
        <v>2.42</v>
      </c>
    </row>
    <row r="985" spans="1:6" ht="15" customHeight="1" x14ac:dyDescent="0.2">
      <c r="A985" s="8" t="s">
        <v>1576</v>
      </c>
      <c r="B985" s="8" t="s">
        <v>789</v>
      </c>
      <c r="C985" s="8" t="s">
        <v>566</v>
      </c>
      <c r="D985" s="29">
        <v>2018.8</v>
      </c>
      <c r="E985" s="29">
        <v>2025.5</v>
      </c>
      <c r="F985" s="29">
        <v>6.67</v>
      </c>
    </row>
    <row r="986" spans="1:6" ht="15" customHeight="1" x14ac:dyDescent="0.2">
      <c r="A986" s="8" t="s">
        <v>1577</v>
      </c>
      <c r="B986" s="8" t="s">
        <v>789</v>
      </c>
      <c r="C986" s="8" t="s">
        <v>566</v>
      </c>
      <c r="D986" s="29">
        <v>2018.8</v>
      </c>
      <c r="E986" s="29">
        <v>2024.3</v>
      </c>
      <c r="F986" s="29">
        <v>5.5</v>
      </c>
    </row>
    <row r="987" spans="1:6" ht="15" customHeight="1" x14ac:dyDescent="0.2">
      <c r="A987" s="8" t="s">
        <v>1578</v>
      </c>
      <c r="B987" s="8" t="s">
        <v>789</v>
      </c>
      <c r="C987" s="8" t="s">
        <v>566</v>
      </c>
      <c r="D987" s="29">
        <v>2018.8</v>
      </c>
      <c r="E987" s="29">
        <v>2022.7</v>
      </c>
      <c r="F987" s="29">
        <v>3.83</v>
      </c>
    </row>
    <row r="988" spans="1:6" ht="15" customHeight="1" x14ac:dyDescent="0.2">
      <c r="A988" s="8" t="s">
        <v>1579</v>
      </c>
      <c r="B988" s="8" t="s">
        <v>789</v>
      </c>
      <c r="C988" s="8" t="s">
        <v>566</v>
      </c>
      <c r="D988" s="29">
        <v>2018.9</v>
      </c>
      <c r="E988" s="29">
        <v>2021.7</v>
      </c>
      <c r="F988" s="29">
        <v>2.75</v>
      </c>
    </row>
    <row r="989" spans="1:6" ht="15" customHeight="1" x14ac:dyDescent="0.2">
      <c r="A989" s="8" t="s">
        <v>1580</v>
      </c>
      <c r="B989" s="8" t="s">
        <v>789</v>
      </c>
      <c r="C989" s="8" t="s">
        <v>765</v>
      </c>
      <c r="D989" s="29">
        <v>2018.9</v>
      </c>
      <c r="E989" s="29">
        <v>2021.5</v>
      </c>
      <c r="F989" s="29">
        <v>2.58</v>
      </c>
    </row>
    <row r="990" spans="1:6" ht="15" customHeight="1" x14ac:dyDescent="0.2">
      <c r="A990" s="8" t="s">
        <v>1581</v>
      </c>
      <c r="B990" s="8" t="s">
        <v>789</v>
      </c>
      <c r="C990" s="8" t="s">
        <v>562</v>
      </c>
      <c r="D990" s="29">
        <v>2018.9</v>
      </c>
      <c r="E990" s="29">
        <v>2022.3</v>
      </c>
      <c r="F990" s="29">
        <v>3.42</v>
      </c>
    </row>
    <row r="991" spans="1:6" ht="15" customHeight="1" x14ac:dyDescent="0.2">
      <c r="A991" s="8" t="s">
        <v>1582</v>
      </c>
      <c r="B991" s="8" t="s">
        <v>789</v>
      </c>
      <c r="C991" s="8" t="s">
        <v>566</v>
      </c>
      <c r="D991" s="29">
        <v>2018.9</v>
      </c>
      <c r="E991" s="29">
        <v>2024.5</v>
      </c>
      <c r="F991" s="29">
        <v>5.58</v>
      </c>
    </row>
    <row r="992" spans="1:6" ht="15" customHeight="1" x14ac:dyDescent="0.2">
      <c r="A992" s="8" t="s">
        <v>1583</v>
      </c>
      <c r="B992" s="8" t="s">
        <v>789</v>
      </c>
      <c r="C992" s="8" t="s">
        <v>562</v>
      </c>
      <c r="D992" s="29">
        <v>2019</v>
      </c>
      <c r="E992" s="29">
        <v>2021.8</v>
      </c>
      <c r="F992" s="29">
        <v>2.75</v>
      </c>
    </row>
    <row r="993" spans="1:6" ht="15" customHeight="1" x14ac:dyDescent="0.2">
      <c r="A993" s="8" t="s">
        <v>1584</v>
      </c>
      <c r="B993" s="8" t="s">
        <v>789</v>
      </c>
      <c r="C993" s="8" t="s">
        <v>560</v>
      </c>
      <c r="D993" s="29">
        <v>2019</v>
      </c>
      <c r="E993" s="29">
        <v>2024.2</v>
      </c>
      <c r="F993" s="29">
        <v>5.17</v>
      </c>
    </row>
    <row r="994" spans="1:6" ht="15" customHeight="1" x14ac:dyDescent="0.2">
      <c r="A994" s="8" t="s">
        <v>1585</v>
      </c>
      <c r="B994" s="8" t="s">
        <v>789</v>
      </c>
      <c r="C994" s="8" t="s">
        <v>560</v>
      </c>
      <c r="D994" s="29">
        <v>2019.1</v>
      </c>
      <c r="E994" s="29">
        <v>2023.8</v>
      </c>
      <c r="F994" s="29">
        <v>4.67</v>
      </c>
    </row>
    <row r="995" spans="1:6" ht="15" customHeight="1" x14ac:dyDescent="0.2">
      <c r="A995" s="8" t="s">
        <v>1586</v>
      </c>
      <c r="B995" s="8" t="s">
        <v>789</v>
      </c>
      <c r="C995" s="8" t="s">
        <v>560</v>
      </c>
      <c r="D995" s="29">
        <v>2019.3</v>
      </c>
      <c r="E995" s="29">
        <v>2023</v>
      </c>
      <c r="F995" s="29">
        <v>3.67</v>
      </c>
    </row>
    <row r="996" spans="1:6" ht="15" customHeight="1" x14ac:dyDescent="0.2">
      <c r="A996" s="8" t="s">
        <v>1587</v>
      </c>
      <c r="B996" s="8" t="s">
        <v>789</v>
      </c>
      <c r="C996" s="8" t="s">
        <v>566</v>
      </c>
      <c r="D996" s="29">
        <v>2019.2</v>
      </c>
      <c r="E996" s="29">
        <v>2020.9</v>
      </c>
      <c r="F996" s="29">
        <v>1.75</v>
      </c>
    </row>
    <row r="997" spans="1:6" ht="15" customHeight="1" x14ac:dyDescent="0.2">
      <c r="A997" s="8" t="s">
        <v>1588</v>
      </c>
      <c r="B997" s="8" t="s">
        <v>789</v>
      </c>
      <c r="C997" s="8" t="s">
        <v>560</v>
      </c>
      <c r="D997" s="29">
        <v>2019.2</v>
      </c>
      <c r="E997" s="29">
        <v>2021.5</v>
      </c>
      <c r="F997" s="29">
        <v>2.33</v>
      </c>
    </row>
    <row r="998" spans="1:6" ht="15" customHeight="1" x14ac:dyDescent="0.2">
      <c r="A998" s="8" t="s">
        <v>1589</v>
      </c>
      <c r="B998" s="8" t="s">
        <v>789</v>
      </c>
      <c r="C998" s="8" t="s">
        <v>765</v>
      </c>
      <c r="D998" s="29">
        <v>2019.4</v>
      </c>
      <c r="E998" s="29">
        <v>2023.5</v>
      </c>
      <c r="F998" s="29">
        <v>4.08</v>
      </c>
    </row>
    <row r="999" spans="1:6" ht="15" customHeight="1" x14ac:dyDescent="0.2">
      <c r="A999" s="8" t="s">
        <v>1590</v>
      </c>
      <c r="B999" s="8" t="s">
        <v>789</v>
      </c>
      <c r="C999" s="8" t="s">
        <v>566</v>
      </c>
      <c r="D999" s="29">
        <v>2019.4</v>
      </c>
      <c r="E999" s="29">
        <v>2023.8</v>
      </c>
      <c r="F999" s="29">
        <v>4.42</v>
      </c>
    </row>
    <row r="1000" spans="1:6" ht="15" customHeight="1" x14ac:dyDescent="0.2">
      <c r="A1000" s="8" t="s">
        <v>1591</v>
      </c>
      <c r="B1000" s="8" t="s">
        <v>789</v>
      </c>
      <c r="C1000" s="8" t="s">
        <v>562</v>
      </c>
      <c r="D1000" s="29">
        <v>2019.3</v>
      </c>
      <c r="E1000" s="29">
        <v>2020.4</v>
      </c>
      <c r="F1000" s="29">
        <v>1.08</v>
      </c>
    </row>
    <row r="1001" spans="1:6" ht="15" customHeight="1" x14ac:dyDescent="0.2">
      <c r="A1001" s="8" t="s">
        <v>1592</v>
      </c>
      <c r="B1001" s="8" t="s">
        <v>789</v>
      </c>
      <c r="C1001" s="8" t="s">
        <v>765</v>
      </c>
      <c r="D1001" s="29">
        <v>2019.3</v>
      </c>
      <c r="E1001" s="29">
        <v>2021.8</v>
      </c>
      <c r="F1001" s="29">
        <v>2.42</v>
      </c>
    </row>
    <row r="1002" spans="1:6" ht="15" customHeight="1" x14ac:dyDescent="0.2">
      <c r="A1002" s="8" t="s">
        <v>1593</v>
      </c>
      <c r="B1002" s="8" t="s">
        <v>789</v>
      </c>
      <c r="C1002" s="8" t="s">
        <v>765</v>
      </c>
      <c r="D1002" s="29">
        <v>2019.4</v>
      </c>
      <c r="E1002" s="29">
        <v>2023.4</v>
      </c>
      <c r="F1002" s="29">
        <v>4</v>
      </c>
    </row>
    <row r="1003" spans="1:6" ht="15" customHeight="1" x14ac:dyDescent="0.2">
      <c r="A1003" s="8" t="s">
        <v>1594</v>
      </c>
      <c r="B1003" s="8" t="s">
        <v>789</v>
      </c>
      <c r="C1003" s="8" t="s">
        <v>765</v>
      </c>
      <c r="D1003" s="29">
        <v>2019.4</v>
      </c>
      <c r="E1003" s="29">
        <v>2023.5</v>
      </c>
      <c r="F1003" s="29">
        <v>4.08</v>
      </c>
    </row>
    <row r="1004" spans="1:6" ht="15" customHeight="1" x14ac:dyDescent="0.2">
      <c r="A1004" s="8" t="s">
        <v>1595</v>
      </c>
      <c r="B1004" s="8" t="s">
        <v>789</v>
      </c>
      <c r="C1004" s="8" t="s">
        <v>562</v>
      </c>
      <c r="D1004" s="29">
        <v>2019.4</v>
      </c>
      <c r="E1004" s="29">
        <v>2022.8</v>
      </c>
      <c r="F1004" s="29">
        <v>3.33</v>
      </c>
    </row>
    <row r="1005" spans="1:6" ht="15" customHeight="1" x14ac:dyDescent="0.2">
      <c r="A1005" s="8" t="s">
        <v>1596</v>
      </c>
      <c r="B1005" s="8" t="s">
        <v>789</v>
      </c>
      <c r="C1005" s="8" t="s">
        <v>657</v>
      </c>
      <c r="D1005" s="29">
        <v>2019.5</v>
      </c>
      <c r="E1005" s="29">
        <v>2021.2</v>
      </c>
      <c r="F1005" s="29">
        <v>1.75</v>
      </c>
    </row>
    <row r="1006" spans="1:6" ht="15" customHeight="1" x14ac:dyDescent="0.2">
      <c r="A1006" s="8" t="s">
        <v>1597</v>
      </c>
      <c r="B1006" s="8" t="s">
        <v>789</v>
      </c>
      <c r="C1006" s="8" t="s">
        <v>765</v>
      </c>
      <c r="D1006" s="29">
        <v>2019.8</v>
      </c>
      <c r="E1006" s="29">
        <v>2023.5</v>
      </c>
      <c r="F1006" s="29">
        <v>3.75</v>
      </c>
    </row>
    <row r="1007" spans="1:6" ht="15" customHeight="1" x14ac:dyDescent="0.2">
      <c r="A1007" s="8" t="s">
        <v>1598</v>
      </c>
      <c r="B1007" s="8" t="s">
        <v>789</v>
      </c>
      <c r="C1007" s="8" t="s">
        <v>765</v>
      </c>
      <c r="D1007" s="29">
        <v>2019.8</v>
      </c>
      <c r="E1007" s="29">
        <v>2023.2</v>
      </c>
      <c r="F1007" s="29">
        <v>3.5</v>
      </c>
    </row>
    <row r="1008" spans="1:6" ht="15" customHeight="1" x14ac:dyDescent="0.2">
      <c r="A1008" s="8" t="s">
        <v>1599</v>
      </c>
      <c r="B1008" s="8" t="s">
        <v>789</v>
      </c>
      <c r="C1008" s="8" t="s">
        <v>765</v>
      </c>
      <c r="D1008" s="29">
        <v>2019.8</v>
      </c>
      <c r="E1008" s="29">
        <v>2023.5</v>
      </c>
      <c r="F1008" s="29">
        <v>3.75</v>
      </c>
    </row>
    <row r="1009" spans="1:6" ht="15" customHeight="1" x14ac:dyDescent="0.2">
      <c r="A1009" s="8" t="s">
        <v>1600</v>
      </c>
      <c r="B1009" s="8" t="s">
        <v>789</v>
      </c>
      <c r="C1009" s="8" t="s">
        <v>765</v>
      </c>
      <c r="D1009" s="29">
        <v>2019.7</v>
      </c>
      <c r="E1009" s="29">
        <v>2021.8</v>
      </c>
      <c r="F1009" s="29">
        <v>2.08</v>
      </c>
    </row>
    <row r="1010" spans="1:6" ht="15" customHeight="1" x14ac:dyDescent="0.2">
      <c r="A1010" s="8" t="s">
        <v>1601</v>
      </c>
      <c r="B1010" s="8" t="s">
        <v>789</v>
      </c>
      <c r="C1010" s="8" t="s">
        <v>560</v>
      </c>
      <c r="D1010" s="29">
        <v>2019.8</v>
      </c>
      <c r="E1010" s="29">
        <v>2022.8</v>
      </c>
      <c r="F1010" s="29">
        <v>3</v>
      </c>
    </row>
    <row r="1011" spans="1:6" ht="15" customHeight="1" x14ac:dyDescent="0.2">
      <c r="A1011" s="8" t="s">
        <v>1602</v>
      </c>
      <c r="B1011" s="8" t="s">
        <v>789</v>
      </c>
      <c r="C1011" s="8" t="s">
        <v>566</v>
      </c>
      <c r="D1011" s="29">
        <v>2019.9</v>
      </c>
      <c r="E1011" s="29">
        <v>2020.6</v>
      </c>
      <c r="F1011" s="29">
        <v>0.67</v>
      </c>
    </row>
    <row r="1012" spans="1:6" ht="15" customHeight="1" x14ac:dyDescent="0.2">
      <c r="A1012" s="8" t="s">
        <v>1603</v>
      </c>
      <c r="B1012" s="8" t="s">
        <v>789</v>
      </c>
      <c r="C1012" s="8" t="s">
        <v>560</v>
      </c>
      <c r="D1012" s="29">
        <v>2020.2</v>
      </c>
      <c r="E1012" s="29">
        <v>2021.3</v>
      </c>
      <c r="F1012" s="29">
        <v>1.17</v>
      </c>
    </row>
    <row r="1013" spans="1:6" ht="15" customHeight="1" x14ac:dyDescent="0.2">
      <c r="A1013" s="8" t="s">
        <v>1604</v>
      </c>
      <c r="B1013" s="8" t="s">
        <v>789</v>
      </c>
      <c r="C1013" s="8" t="s">
        <v>566</v>
      </c>
      <c r="D1013" s="29">
        <v>2018.3</v>
      </c>
      <c r="E1013" s="29">
        <v>2024.2</v>
      </c>
      <c r="F1013" s="29">
        <v>5.92</v>
      </c>
    </row>
    <row r="1014" spans="1:6" ht="15" customHeight="1" x14ac:dyDescent="0.2">
      <c r="A1014" s="8" t="s">
        <v>1605</v>
      </c>
      <c r="B1014" s="8" t="s">
        <v>789</v>
      </c>
      <c r="C1014" s="8" t="s">
        <v>566</v>
      </c>
      <c r="D1014" s="29">
        <v>2018.6</v>
      </c>
      <c r="E1014" s="29">
        <v>2021.3</v>
      </c>
      <c r="F1014" s="29">
        <v>2.75</v>
      </c>
    </row>
    <row r="1015" spans="1:6" ht="15" customHeight="1" x14ac:dyDescent="0.2">
      <c r="A1015" s="8" t="s">
        <v>1606</v>
      </c>
      <c r="B1015" s="8" t="s">
        <v>789</v>
      </c>
      <c r="C1015" s="8" t="s">
        <v>765</v>
      </c>
      <c r="D1015" s="29">
        <v>2018.3</v>
      </c>
      <c r="E1015" s="29">
        <v>2024.2</v>
      </c>
      <c r="F1015" s="29">
        <v>5.92</v>
      </c>
    </row>
    <row r="1016" spans="1:6" ht="15" customHeight="1" x14ac:dyDescent="0.2">
      <c r="A1016" s="8" t="s">
        <v>1607</v>
      </c>
      <c r="B1016" s="8" t="s">
        <v>789</v>
      </c>
      <c r="C1016" s="8" t="s">
        <v>761</v>
      </c>
      <c r="D1016" s="29">
        <v>2018.7</v>
      </c>
      <c r="E1016" s="29">
        <v>2023.3</v>
      </c>
      <c r="F1016" s="29">
        <v>4.67</v>
      </c>
    </row>
    <row r="1017" spans="1:6" ht="15" customHeight="1" x14ac:dyDescent="0.2">
      <c r="A1017" s="8" t="s">
        <v>1608</v>
      </c>
      <c r="B1017" s="8" t="s">
        <v>789</v>
      </c>
      <c r="C1017" s="8" t="s">
        <v>566</v>
      </c>
      <c r="D1017" s="29">
        <v>2018.8</v>
      </c>
      <c r="E1017" s="29">
        <v>2023</v>
      </c>
      <c r="F1017" s="29">
        <v>4.17</v>
      </c>
    </row>
    <row r="1018" spans="1:6" ht="15" customHeight="1" x14ac:dyDescent="0.2">
      <c r="A1018" s="8" t="s">
        <v>1609</v>
      </c>
      <c r="B1018" s="8" t="s">
        <v>789</v>
      </c>
      <c r="C1018" s="8" t="s">
        <v>566</v>
      </c>
      <c r="D1018" s="29">
        <v>2018.8</v>
      </c>
      <c r="E1018" s="29">
        <v>2021.7</v>
      </c>
      <c r="F1018" s="29">
        <v>2.83</v>
      </c>
    </row>
    <row r="1019" spans="1:6" ht="15" customHeight="1" x14ac:dyDescent="0.2">
      <c r="A1019" s="8" t="s">
        <v>1610</v>
      </c>
      <c r="B1019" s="8" t="s">
        <v>789</v>
      </c>
      <c r="C1019" s="8" t="s">
        <v>566</v>
      </c>
      <c r="D1019" s="29">
        <v>2018.9</v>
      </c>
      <c r="E1019" s="29">
        <v>2023.5</v>
      </c>
      <c r="F1019" s="29">
        <v>4.58</v>
      </c>
    </row>
    <row r="1020" spans="1:6" ht="15" customHeight="1" x14ac:dyDescent="0.2">
      <c r="A1020" s="8" t="s">
        <v>1611</v>
      </c>
      <c r="B1020" s="8" t="s">
        <v>789</v>
      </c>
      <c r="C1020" s="8" t="s">
        <v>765</v>
      </c>
      <c r="D1020" s="29">
        <v>2018.9</v>
      </c>
      <c r="E1020" s="29">
        <v>2023.2</v>
      </c>
      <c r="F1020" s="29">
        <v>4.25</v>
      </c>
    </row>
    <row r="1021" spans="1:6" ht="15" customHeight="1" x14ac:dyDescent="0.2">
      <c r="A1021" s="8" t="s">
        <v>1612</v>
      </c>
      <c r="B1021" s="8" t="s">
        <v>789</v>
      </c>
      <c r="C1021" s="8" t="s">
        <v>761</v>
      </c>
      <c r="D1021" s="29">
        <v>2019.1</v>
      </c>
      <c r="E1021" s="29">
        <v>2023.8</v>
      </c>
      <c r="F1021" s="29">
        <v>4.67</v>
      </c>
    </row>
    <row r="1022" spans="1:6" ht="15" customHeight="1" x14ac:dyDescent="0.2">
      <c r="A1022" s="8" t="s">
        <v>1613</v>
      </c>
      <c r="B1022" s="8" t="s">
        <v>789</v>
      </c>
      <c r="C1022" s="8" t="s">
        <v>566</v>
      </c>
      <c r="D1022" s="29">
        <v>2019.2</v>
      </c>
      <c r="E1022" s="29">
        <v>2024.2</v>
      </c>
      <c r="F1022" s="29">
        <v>5</v>
      </c>
    </row>
    <row r="1023" spans="1:6" ht="15" customHeight="1" x14ac:dyDescent="0.2">
      <c r="A1023" s="8" t="s">
        <v>1614</v>
      </c>
      <c r="B1023" s="8" t="s">
        <v>789</v>
      </c>
      <c r="C1023" s="8" t="s">
        <v>566</v>
      </c>
      <c r="D1023" s="29">
        <v>2019.2</v>
      </c>
      <c r="E1023" s="29">
        <v>2022.2</v>
      </c>
      <c r="F1023" s="29">
        <v>3</v>
      </c>
    </row>
    <row r="1024" spans="1:6" ht="15" customHeight="1" x14ac:dyDescent="0.2">
      <c r="A1024" s="8" t="s">
        <v>1615</v>
      </c>
      <c r="B1024" s="8" t="s">
        <v>789</v>
      </c>
      <c r="C1024" s="8" t="s">
        <v>765</v>
      </c>
      <c r="D1024" s="29">
        <v>2019.2</v>
      </c>
      <c r="E1024" s="29">
        <v>2022.8</v>
      </c>
      <c r="F1024" s="29">
        <v>3.5</v>
      </c>
    </row>
    <row r="1025" spans="1:6" ht="15" customHeight="1" x14ac:dyDescent="0.2">
      <c r="A1025" s="8" t="s">
        <v>1616</v>
      </c>
      <c r="B1025" s="8" t="s">
        <v>789</v>
      </c>
      <c r="C1025" s="8" t="s">
        <v>566</v>
      </c>
      <c r="D1025" s="29">
        <v>2019.9</v>
      </c>
      <c r="E1025" s="29">
        <v>2024.6</v>
      </c>
      <c r="F1025" s="29">
        <v>4.67</v>
      </c>
    </row>
    <row r="1026" spans="1:6" ht="15" customHeight="1" x14ac:dyDescent="0.2">
      <c r="A1026" s="8" t="s">
        <v>1617</v>
      </c>
      <c r="B1026" s="8" t="s">
        <v>789</v>
      </c>
      <c r="C1026" s="8" t="s">
        <v>566</v>
      </c>
      <c r="D1026" s="29">
        <v>2020</v>
      </c>
      <c r="E1026" s="29">
        <v>2024.3</v>
      </c>
      <c r="F1026" s="29">
        <v>4.33</v>
      </c>
    </row>
    <row r="1027" spans="1:6" ht="15" customHeight="1" x14ac:dyDescent="0.2">
      <c r="A1027" s="8" t="s">
        <v>1618</v>
      </c>
      <c r="B1027" s="8" t="s">
        <v>789</v>
      </c>
      <c r="C1027" s="8" t="s">
        <v>566</v>
      </c>
      <c r="D1027" s="29">
        <v>2020</v>
      </c>
      <c r="E1027" s="29">
        <v>2024.6</v>
      </c>
      <c r="F1027" s="29">
        <v>4.58</v>
      </c>
    </row>
    <row r="1028" spans="1:6" ht="15" customHeight="1" x14ac:dyDescent="0.2">
      <c r="A1028" s="8" t="s">
        <v>1619</v>
      </c>
      <c r="B1028" s="8" t="s">
        <v>789</v>
      </c>
      <c r="C1028" s="8" t="s">
        <v>566</v>
      </c>
      <c r="D1028" s="29">
        <v>2019.3</v>
      </c>
      <c r="E1028" s="29">
        <v>2024</v>
      </c>
      <c r="F1028" s="29">
        <v>4.67</v>
      </c>
    </row>
    <row r="1029" spans="1:6" ht="15" customHeight="1" x14ac:dyDescent="0.2">
      <c r="A1029" s="8" t="s">
        <v>1620</v>
      </c>
      <c r="B1029" s="8" t="s">
        <v>789</v>
      </c>
      <c r="C1029" s="8" t="s">
        <v>560</v>
      </c>
      <c r="D1029" s="29">
        <v>2019.3</v>
      </c>
      <c r="E1029" s="29">
        <v>2023.8</v>
      </c>
      <c r="F1029" s="29">
        <v>4.5</v>
      </c>
    </row>
    <row r="1030" spans="1:6" ht="15" customHeight="1" x14ac:dyDescent="0.2">
      <c r="A1030" s="8" t="s">
        <v>1621</v>
      </c>
      <c r="B1030" s="8" t="s">
        <v>789</v>
      </c>
      <c r="C1030" s="8" t="s">
        <v>562</v>
      </c>
      <c r="D1030" s="29">
        <v>2019.3</v>
      </c>
      <c r="E1030" s="29">
        <v>2021.3</v>
      </c>
      <c r="F1030" s="29">
        <v>2</v>
      </c>
    </row>
    <row r="1031" spans="1:6" ht="15" customHeight="1" x14ac:dyDescent="0.2">
      <c r="A1031" s="8" t="s">
        <v>1622</v>
      </c>
      <c r="B1031" s="8" t="s">
        <v>789</v>
      </c>
      <c r="C1031" s="8" t="s">
        <v>566</v>
      </c>
      <c r="D1031" s="29">
        <v>2019.2</v>
      </c>
      <c r="E1031" s="29">
        <v>2025</v>
      </c>
      <c r="F1031" s="29">
        <v>5.75</v>
      </c>
    </row>
    <row r="1032" spans="1:6" ht="15" customHeight="1" x14ac:dyDescent="0.2">
      <c r="A1032" s="8" t="s">
        <v>1623</v>
      </c>
      <c r="B1032" s="8" t="s">
        <v>789</v>
      </c>
      <c r="C1032" s="8" t="s">
        <v>761</v>
      </c>
      <c r="D1032" s="29">
        <v>2019.4</v>
      </c>
      <c r="E1032" s="29">
        <v>2025.2</v>
      </c>
      <c r="F1032" s="29">
        <v>5.83</v>
      </c>
    </row>
    <row r="1033" spans="1:6" ht="15" customHeight="1" x14ac:dyDescent="0.2">
      <c r="A1033" s="8" t="s">
        <v>1624</v>
      </c>
      <c r="B1033" s="8" t="s">
        <v>789</v>
      </c>
      <c r="C1033" s="8" t="s">
        <v>765</v>
      </c>
      <c r="D1033" s="29">
        <v>2019.4</v>
      </c>
      <c r="E1033" s="29">
        <v>2023.3</v>
      </c>
      <c r="F1033" s="29">
        <v>3.92</v>
      </c>
    </row>
    <row r="1034" spans="1:6" ht="15" customHeight="1" x14ac:dyDescent="0.2">
      <c r="A1034" s="8" t="s">
        <v>1625</v>
      </c>
      <c r="B1034" s="8" t="s">
        <v>789</v>
      </c>
      <c r="C1034" s="8" t="s">
        <v>765</v>
      </c>
      <c r="D1034" s="29">
        <v>2019.4</v>
      </c>
      <c r="E1034" s="29">
        <v>2021.4</v>
      </c>
      <c r="F1034" s="29">
        <v>2</v>
      </c>
    </row>
    <row r="1035" spans="1:6" ht="15" customHeight="1" x14ac:dyDescent="0.2">
      <c r="A1035" s="8" t="s">
        <v>1626</v>
      </c>
      <c r="B1035" s="8" t="s">
        <v>789</v>
      </c>
      <c r="C1035" s="8" t="s">
        <v>765</v>
      </c>
      <c r="D1035" s="29">
        <v>2019.3</v>
      </c>
      <c r="E1035" s="29">
        <v>2021.8</v>
      </c>
      <c r="F1035" s="29">
        <v>2.42</v>
      </c>
    </row>
    <row r="1036" spans="1:6" ht="15" customHeight="1" x14ac:dyDescent="0.2">
      <c r="A1036" s="8" t="s">
        <v>1627</v>
      </c>
      <c r="B1036" s="8" t="s">
        <v>789</v>
      </c>
      <c r="C1036" s="8" t="s">
        <v>761</v>
      </c>
      <c r="D1036" s="29">
        <v>2019.5</v>
      </c>
      <c r="E1036" s="29">
        <v>2023.8</v>
      </c>
      <c r="F1036" s="29">
        <v>4.25</v>
      </c>
    </row>
    <row r="1037" spans="1:6" ht="15" customHeight="1" x14ac:dyDescent="0.2">
      <c r="A1037" s="8" t="s">
        <v>1628</v>
      </c>
      <c r="B1037" s="8" t="s">
        <v>789</v>
      </c>
      <c r="C1037" s="8" t="s">
        <v>566</v>
      </c>
      <c r="D1037" s="29">
        <v>2019.5</v>
      </c>
      <c r="E1037" s="29">
        <v>2025</v>
      </c>
      <c r="F1037" s="29">
        <v>5.5</v>
      </c>
    </row>
    <row r="1038" spans="1:6" ht="15" customHeight="1" x14ac:dyDescent="0.2">
      <c r="A1038" s="8" t="s">
        <v>1629</v>
      </c>
      <c r="B1038" s="8" t="s">
        <v>789</v>
      </c>
      <c r="C1038" s="8" t="s">
        <v>566</v>
      </c>
      <c r="D1038" s="29">
        <v>2019.5</v>
      </c>
      <c r="E1038" s="29">
        <v>2023.3</v>
      </c>
      <c r="F1038" s="29">
        <v>3.83</v>
      </c>
    </row>
    <row r="1039" spans="1:6" ht="15" customHeight="1" x14ac:dyDescent="0.2">
      <c r="A1039" s="8" t="s">
        <v>1630</v>
      </c>
      <c r="B1039" s="8" t="s">
        <v>789</v>
      </c>
      <c r="C1039" s="8" t="s">
        <v>560</v>
      </c>
      <c r="D1039" s="29">
        <v>2019.6</v>
      </c>
      <c r="E1039" s="29">
        <v>2024.2</v>
      </c>
      <c r="F1039" s="29">
        <v>4.67</v>
      </c>
    </row>
    <row r="1040" spans="1:6" ht="15" customHeight="1" x14ac:dyDescent="0.2">
      <c r="A1040" s="8" t="s">
        <v>1631</v>
      </c>
      <c r="B1040" s="8" t="s">
        <v>789</v>
      </c>
      <c r="C1040" s="8" t="s">
        <v>566</v>
      </c>
      <c r="D1040" s="29">
        <v>2019.5</v>
      </c>
      <c r="E1040" s="29">
        <v>2023.8</v>
      </c>
      <c r="F1040" s="29">
        <v>4.33</v>
      </c>
    </row>
    <row r="1041" spans="1:6" ht="15" customHeight="1" x14ac:dyDescent="0.2">
      <c r="A1041" s="8" t="s">
        <v>1632</v>
      </c>
      <c r="B1041" s="8" t="s">
        <v>789</v>
      </c>
      <c r="C1041" s="8" t="s">
        <v>761</v>
      </c>
      <c r="D1041" s="29">
        <v>2019.5</v>
      </c>
      <c r="E1041" s="29">
        <v>2025.2</v>
      </c>
      <c r="F1041" s="29">
        <v>5.75</v>
      </c>
    </row>
    <row r="1042" spans="1:6" ht="15" customHeight="1" x14ac:dyDescent="0.2">
      <c r="A1042" s="8" t="s">
        <v>1633</v>
      </c>
      <c r="B1042" s="8" t="s">
        <v>789</v>
      </c>
      <c r="C1042" s="8" t="s">
        <v>566</v>
      </c>
      <c r="D1042" s="29">
        <v>2019.5</v>
      </c>
      <c r="E1042" s="29">
        <v>2024.6</v>
      </c>
      <c r="F1042" s="29">
        <v>5.08</v>
      </c>
    </row>
    <row r="1043" spans="1:6" ht="15" customHeight="1" x14ac:dyDescent="0.2">
      <c r="A1043" s="8" t="s">
        <v>1634</v>
      </c>
      <c r="B1043" s="8" t="s">
        <v>789</v>
      </c>
      <c r="C1043" s="8" t="s">
        <v>560</v>
      </c>
      <c r="D1043" s="29">
        <v>2019.5</v>
      </c>
      <c r="E1043" s="29">
        <v>2022.9</v>
      </c>
      <c r="F1043" s="29">
        <v>3.42</v>
      </c>
    </row>
    <row r="1044" spans="1:6" ht="15" customHeight="1" x14ac:dyDescent="0.2">
      <c r="A1044" s="8" t="s">
        <v>1635</v>
      </c>
      <c r="B1044" s="8" t="s">
        <v>789</v>
      </c>
      <c r="C1044" s="8" t="s">
        <v>566</v>
      </c>
      <c r="D1044" s="29">
        <v>2019.8</v>
      </c>
      <c r="E1044" s="29">
        <v>2024.9</v>
      </c>
      <c r="F1044" s="29">
        <v>5.17</v>
      </c>
    </row>
    <row r="1045" spans="1:6" ht="15" customHeight="1" x14ac:dyDescent="0.2">
      <c r="A1045" s="8" t="s">
        <v>1636</v>
      </c>
      <c r="B1045" s="8" t="s">
        <v>789</v>
      </c>
      <c r="C1045" s="8" t="s">
        <v>566</v>
      </c>
      <c r="D1045" s="29">
        <v>2019.6</v>
      </c>
      <c r="E1045" s="29">
        <v>2024</v>
      </c>
      <c r="F1045" s="29">
        <v>4.42</v>
      </c>
    </row>
    <row r="1046" spans="1:6" ht="15" customHeight="1" x14ac:dyDescent="0.2">
      <c r="A1046" s="8" t="s">
        <v>1637</v>
      </c>
      <c r="B1046" s="8" t="s">
        <v>789</v>
      </c>
      <c r="C1046" s="8" t="s">
        <v>566</v>
      </c>
      <c r="D1046" s="29">
        <v>2019.7</v>
      </c>
      <c r="E1046" s="29">
        <v>2024.1</v>
      </c>
      <c r="F1046" s="29">
        <v>4.42</v>
      </c>
    </row>
    <row r="1047" spans="1:6" ht="15" customHeight="1" x14ac:dyDescent="0.2">
      <c r="A1047" s="8" t="s">
        <v>1638</v>
      </c>
      <c r="B1047" s="8" t="s">
        <v>789</v>
      </c>
      <c r="C1047" s="8" t="s">
        <v>564</v>
      </c>
      <c r="D1047" s="29">
        <v>2019.8</v>
      </c>
      <c r="E1047" s="29">
        <v>2025.1</v>
      </c>
      <c r="F1047" s="29">
        <v>5.25</v>
      </c>
    </row>
    <row r="1048" spans="1:6" ht="15" customHeight="1" x14ac:dyDescent="0.2">
      <c r="A1048" s="8" t="s">
        <v>1639</v>
      </c>
      <c r="B1048" s="8" t="s">
        <v>789</v>
      </c>
      <c r="C1048" s="8" t="s">
        <v>564</v>
      </c>
      <c r="D1048" s="29">
        <v>2019.8</v>
      </c>
      <c r="E1048" s="29">
        <v>2025.9</v>
      </c>
      <c r="F1048" s="29">
        <v>6.17</v>
      </c>
    </row>
    <row r="1049" spans="1:6" ht="15" customHeight="1" x14ac:dyDescent="0.2">
      <c r="A1049" s="8" t="s">
        <v>1640</v>
      </c>
      <c r="B1049" s="8" t="s">
        <v>789</v>
      </c>
      <c r="C1049" s="8" t="s">
        <v>560</v>
      </c>
      <c r="D1049" s="29">
        <v>2019.8</v>
      </c>
      <c r="E1049" s="29">
        <v>2022</v>
      </c>
      <c r="F1049" s="29">
        <v>2.17</v>
      </c>
    </row>
    <row r="1050" spans="1:6" ht="15" customHeight="1" x14ac:dyDescent="0.2">
      <c r="A1050" s="8" t="s">
        <v>1641</v>
      </c>
      <c r="B1050" s="8" t="s">
        <v>789</v>
      </c>
      <c r="C1050" s="8" t="s">
        <v>564</v>
      </c>
      <c r="D1050" s="29">
        <v>2019.8</v>
      </c>
      <c r="E1050" s="29">
        <v>2025.2</v>
      </c>
      <c r="F1050" s="29">
        <v>5.5</v>
      </c>
    </row>
    <row r="1051" spans="1:6" ht="15" customHeight="1" x14ac:dyDescent="0.2">
      <c r="A1051" s="8" t="s">
        <v>1642</v>
      </c>
      <c r="B1051" s="8" t="s">
        <v>789</v>
      </c>
      <c r="C1051" s="8" t="s">
        <v>566</v>
      </c>
      <c r="D1051" s="29">
        <v>2020</v>
      </c>
      <c r="E1051" s="29">
        <v>2025</v>
      </c>
      <c r="F1051" s="29">
        <v>5</v>
      </c>
    </row>
    <row r="1052" spans="1:6" ht="15" customHeight="1" x14ac:dyDescent="0.2">
      <c r="A1052" s="8" t="s">
        <v>1643</v>
      </c>
      <c r="B1052" s="8" t="s">
        <v>789</v>
      </c>
      <c r="C1052" s="8" t="s">
        <v>765</v>
      </c>
      <c r="D1052" s="29">
        <v>2019.8</v>
      </c>
      <c r="E1052" s="29">
        <v>2022.5</v>
      </c>
      <c r="F1052" s="29">
        <v>2.67</v>
      </c>
    </row>
    <row r="1053" spans="1:6" ht="15" customHeight="1" x14ac:dyDescent="0.2">
      <c r="A1053" s="8" t="s">
        <v>1644</v>
      </c>
      <c r="B1053" s="8" t="s">
        <v>789</v>
      </c>
      <c r="C1053" s="8" t="s">
        <v>765</v>
      </c>
      <c r="D1053" s="29">
        <v>2019.9</v>
      </c>
      <c r="E1053" s="29">
        <v>2022.4</v>
      </c>
      <c r="F1053" s="29">
        <v>2.5</v>
      </c>
    </row>
    <row r="1054" spans="1:6" ht="15" customHeight="1" x14ac:dyDescent="0.2">
      <c r="A1054" s="8" t="s">
        <v>1645</v>
      </c>
      <c r="B1054" s="8" t="s">
        <v>789</v>
      </c>
      <c r="C1054" s="8" t="s">
        <v>560</v>
      </c>
      <c r="D1054" s="29">
        <v>2019.9</v>
      </c>
      <c r="E1054" s="29">
        <v>2024.2</v>
      </c>
      <c r="F1054" s="29">
        <v>4.33</v>
      </c>
    </row>
    <row r="1055" spans="1:6" ht="15" customHeight="1" x14ac:dyDescent="0.2">
      <c r="A1055" s="8" t="s">
        <v>1646</v>
      </c>
      <c r="B1055" s="8" t="s">
        <v>789</v>
      </c>
      <c r="C1055" s="8" t="s">
        <v>765</v>
      </c>
      <c r="D1055" s="29">
        <v>2019.9</v>
      </c>
      <c r="E1055" s="29">
        <v>2023.7</v>
      </c>
      <c r="F1055" s="29">
        <v>3.75</v>
      </c>
    </row>
    <row r="1056" spans="1:6" ht="15" customHeight="1" x14ac:dyDescent="0.2">
      <c r="A1056" s="8" t="s">
        <v>1647</v>
      </c>
      <c r="B1056" s="8" t="s">
        <v>789</v>
      </c>
      <c r="C1056" s="8" t="s">
        <v>765</v>
      </c>
      <c r="D1056" s="29">
        <v>2019.9</v>
      </c>
      <c r="E1056" s="29">
        <v>2023.8</v>
      </c>
      <c r="F1056" s="29">
        <v>3.83</v>
      </c>
    </row>
    <row r="1057" spans="1:6" ht="15" customHeight="1" x14ac:dyDescent="0.2">
      <c r="A1057" s="8" t="s">
        <v>1648</v>
      </c>
      <c r="B1057" s="8" t="s">
        <v>789</v>
      </c>
      <c r="C1057" s="8" t="s">
        <v>765</v>
      </c>
      <c r="D1057" s="29">
        <v>2019.9</v>
      </c>
      <c r="E1057" s="29">
        <v>2022.3</v>
      </c>
      <c r="F1057" s="29">
        <v>2.42</v>
      </c>
    </row>
    <row r="1058" spans="1:6" ht="15" customHeight="1" x14ac:dyDescent="0.2">
      <c r="A1058" s="8" t="s">
        <v>1649</v>
      </c>
      <c r="B1058" s="8" t="s">
        <v>789</v>
      </c>
      <c r="C1058" s="8" t="s">
        <v>566</v>
      </c>
      <c r="D1058" s="29">
        <v>2019.9</v>
      </c>
      <c r="E1058" s="29">
        <v>2021.8</v>
      </c>
      <c r="F1058" s="29">
        <v>1.92</v>
      </c>
    </row>
    <row r="1059" spans="1:6" ht="15" customHeight="1" x14ac:dyDescent="0.2">
      <c r="A1059" s="8" t="s">
        <v>1650</v>
      </c>
      <c r="B1059" s="8" t="s">
        <v>789</v>
      </c>
      <c r="C1059" s="8" t="s">
        <v>765</v>
      </c>
      <c r="D1059" s="29">
        <v>2019.8</v>
      </c>
      <c r="E1059" s="29">
        <v>2022.9</v>
      </c>
      <c r="F1059" s="29">
        <v>3.08</v>
      </c>
    </row>
    <row r="1060" spans="1:6" ht="15" customHeight="1" x14ac:dyDescent="0.2">
      <c r="A1060" s="8" t="s">
        <v>1651</v>
      </c>
      <c r="B1060" s="8" t="s">
        <v>789</v>
      </c>
      <c r="C1060" s="8" t="s">
        <v>765</v>
      </c>
      <c r="D1060" s="29">
        <v>2020</v>
      </c>
      <c r="E1060" s="29">
        <v>2024.2</v>
      </c>
      <c r="F1060" s="29">
        <v>4.17</v>
      </c>
    </row>
    <row r="1061" spans="1:6" ht="15" customHeight="1" x14ac:dyDescent="0.2">
      <c r="A1061" s="8" t="s">
        <v>1652</v>
      </c>
      <c r="B1061" s="8" t="s">
        <v>789</v>
      </c>
      <c r="C1061" s="8" t="s">
        <v>566</v>
      </c>
      <c r="D1061" s="29">
        <v>2020</v>
      </c>
      <c r="E1061" s="29">
        <v>2023.8</v>
      </c>
      <c r="F1061" s="29">
        <v>3.75</v>
      </c>
    </row>
    <row r="1062" spans="1:6" ht="15" customHeight="1" x14ac:dyDescent="0.2">
      <c r="A1062" s="8" t="s">
        <v>1653</v>
      </c>
      <c r="B1062" s="8" t="s">
        <v>789</v>
      </c>
      <c r="C1062" s="8" t="s">
        <v>765</v>
      </c>
      <c r="D1062" s="29">
        <v>2020.2</v>
      </c>
      <c r="E1062" s="29">
        <v>2022.2</v>
      </c>
      <c r="F1062" s="29">
        <v>2</v>
      </c>
    </row>
    <row r="1063" spans="1:6" ht="15" customHeight="1" x14ac:dyDescent="0.2">
      <c r="A1063" s="8" t="s">
        <v>1654</v>
      </c>
      <c r="B1063" s="8" t="s">
        <v>789</v>
      </c>
      <c r="C1063" s="8" t="s">
        <v>765</v>
      </c>
      <c r="D1063" s="29">
        <v>2020.2</v>
      </c>
      <c r="E1063" s="29">
        <v>2022.6</v>
      </c>
      <c r="F1063" s="29">
        <v>2.42</v>
      </c>
    </row>
    <row r="1064" spans="1:6" ht="15" customHeight="1" x14ac:dyDescent="0.2">
      <c r="A1064" s="8" t="s">
        <v>1655</v>
      </c>
      <c r="B1064" s="8" t="s">
        <v>789</v>
      </c>
      <c r="C1064" s="8" t="s">
        <v>566</v>
      </c>
      <c r="D1064" s="29">
        <v>2020.2</v>
      </c>
      <c r="E1064" s="29">
        <v>2021.6</v>
      </c>
      <c r="F1064" s="29">
        <v>1.42</v>
      </c>
    </row>
    <row r="1065" spans="1:6" ht="15" customHeight="1" x14ac:dyDescent="0.2">
      <c r="A1065" s="8" t="s">
        <v>1656</v>
      </c>
      <c r="B1065" s="8" t="s">
        <v>789</v>
      </c>
      <c r="C1065" s="8" t="s">
        <v>765</v>
      </c>
      <c r="D1065" s="29">
        <v>2020.4</v>
      </c>
      <c r="E1065" s="29">
        <v>2022.3</v>
      </c>
      <c r="F1065" s="29">
        <v>1.92</v>
      </c>
    </row>
    <row r="1066" spans="1:6" ht="15" customHeight="1" x14ac:dyDescent="0.2">
      <c r="A1066" s="8" t="s">
        <v>1657</v>
      </c>
      <c r="B1066" s="8" t="s">
        <v>789</v>
      </c>
      <c r="C1066" s="8" t="s">
        <v>560</v>
      </c>
      <c r="D1066" s="29">
        <v>2020.4</v>
      </c>
      <c r="E1066" s="29">
        <v>2023.8</v>
      </c>
      <c r="F1066" s="29">
        <v>3.33</v>
      </c>
    </row>
    <row r="1067" spans="1:6" ht="15" customHeight="1" x14ac:dyDescent="0.2">
      <c r="A1067" s="8" t="s">
        <v>1658</v>
      </c>
      <c r="B1067" s="8" t="s">
        <v>789</v>
      </c>
      <c r="C1067" s="8" t="s">
        <v>562</v>
      </c>
      <c r="D1067" s="29">
        <v>2020.7</v>
      </c>
      <c r="E1067" s="29">
        <v>2023.3</v>
      </c>
      <c r="F1067" s="29">
        <v>2.67</v>
      </c>
    </row>
    <row r="1068" spans="1:6" ht="15" customHeight="1" x14ac:dyDescent="0.2">
      <c r="A1068" s="8" t="s">
        <v>1659</v>
      </c>
      <c r="B1068" s="8" t="s">
        <v>789</v>
      </c>
      <c r="C1068" s="8" t="s">
        <v>560</v>
      </c>
      <c r="D1068" s="29">
        <v>2020.5</v>
      </c>
      <c r="E1068" s="29">
        <v>2024.2</v>
      </c>
      <c r="F1068" s="29">
        <v>3.75</v>
      </c>
    </row>
    <row r="1069" spans="1:6" ht="15" customHeight="1" x14ac:dyDescent="0.2">
      <c r="A1069" s="8" t="s">
        <v>1660</v>
      </c>
      <c r="B1069" s="8" t="s">
        <v>789</v>
      </c>
      <c r="C1069" s="8" t="s">
        <v>564</v>
      </c>
      <c r="D1069" s="29">
        <v>2020.5</v>
      </c>
      <c r="E1069" s="29">
        <v>2025.5</v>
      </c>
      <c r="F1069" s="29">
        <v>5</v>
      </c>
    </row>
    <row r="1070" spans="1:6" ht="15" customHeight="1" x14ac:dyDescent="0.2">
      <c r="A1070" s="8" t="s">
        <v>1661</v>
      </c>
      <c r="B1070" s="8" t="s">
        <v>789</v>
      </c>
      <c r="C1070" s="8" t="s">
        <v>560</v>
      </c>
      <c r="D1070" s="29">
        <v>2020.7</v>
      </c>
      <c r="E1070" s="29">
        <v>2022.7</v>
      </c>
      <c r="F1070" s="29">
        <v>2</v>
      </c>
    </row>
    <row r="1071" spans="1:6" ht="15" customHeight="1" x14ac:dyDescent="0.2">
      <c r="A1071" s="8" t="s">
        <v>1662</v>
      </c>
      <c r="B1071" s="8" t="s">
        <v>789</v>
      </c>
      <c r="C1071" s="8" t="s">
        <v>765</v>
      </c>
      <c r="D1071" s="29">
        <v>2020.8</v>
      </c>
      <c r="E1071" s="29">
        <v>2023.2</v>
      </c>
      <c r="F1071" s="29">
        <v>2.42</v>
      </c>
    </row>
    <row r="1072" spans="1:6" ht="15" customHeight="1" x14ac:dyDescent="0.2">
      <c r="A1072" s="8" t="s">
        <v>1663</v>
      </c>
      <c r="B1072" s="8" t="s">
        <v>789</v>
      </c>
      <c r="C1072" s="8" t="s">
        <v>560</v>
      </c>
      <c r="D1072" s="29">
        <v>2021.2</v>
      </c>
      <c r="E1072" s="29">
        <v>2024.2</v>
      </c>
      <c r="F1072" s="29">
        <v>3</v>
      </c>
    </row>
    <row r="1073" spans="1:6" ht="15" customHeight="1" x14ac:dyDescent="0.2">
      <c r="A1073" s="8" t="s">
        <v>1664</v>
      </c>
      <c r="B1073" s="8" t="s">
        <v>789</v>
      </c>
      <c r="C1073" s="8" t="s">
        <v>562</v>
      </c>
      <c r="D1073" s="29">
        <v>2021.2</v>
      </c>
      <c r="E1073" s="29">
        <v>2022.6</v>
      </c>
      <c r="F1073" s="29">
        <v>1.33</v>
      </c>
    </row>
    <row r="1074" spans="1:6" ht="15" customHeight="1" x14ac:dyDescent="0.2">
      <c r="A1074" s="8" t="s">
        <v>1665</v>
      </c>
      <c r="B1074" s="8" t="s">
        <v>789</v>
      </c>
      <c r="C1074" s="8" t="s">
        <v>566</v>
      </c>
      <c r="D1074" s="29">
        <v>2019.5</v>
      </c>
      <c r="E1074" s="29">
        <v>2023.8</v>
      </c>
      <c r="F1074" s="29">
        <v>4.33</v>
      </c>
    </row>
    <row r="1075" spans="1:6" ht="15" customHeight="1" x14ac:dyDescent="0.2">
      <c r="A1075" s="8" t="s">
        <v>1666</v>
      </c>
      <c r="B1075" s="8" t="s">
        <v>789</v>
      </c>
      <c r="C1075" s="8" t="s">
        <v>566</v>
      </c>
      <c r="D1075" s="29">
        <v>2020.1</v>
      </c>
      <c r="E1075" s="29">
        <v>2023.8</v>
      </c>
      <c r="F1075" s="29">
        <v>3.75</v>
      </c>
    </row>
    <row r="1076" spans="1:6" ht="15" customHeight="1" x14ac:dyDescent="0.2">
      <c r="A1076" s="8" t="s">
        <v>1667</v>
      </c>
      <c r="B1076" s="8" t="s">
        <v>789</v>
      </c>
      <c r="C1076" s="8" t="s">
        <v>566</v>
      </c>
      <c r="D1076" s="29">
        <v>2019.8</v>
      </c>
      <c r="E1076" s="29">
        <v>2024.2</v>
      </c>
      <c r="F1076" s="29">
        <v>4.5</v>
      </c>
    </row>
    <row r="1077" spans="1:6" ht="15" customHeight="1" x14ac:dyDescent="0.2">
      <c r="A1077" s="8" t="s">
        <v>1668</v>
      </c>
      <c r="B1077" s="8" t="s">
        <v>789</v>
      </c>
      <c r="C1077" s="8" t="s">
        <v>765</v>
      </c>
      <c r="D1077" s="29">
        <v>2019.9</v>
      </c>
      <c r="E1077" s="29">
        <v>2024.6</v>
      </c>
      <c r="F1077" s="29">
        <v>4.67</v>
      </c>
    </row>
    <row r="1078" spans="1:6" ht="15" customHeight="1" x14ac:dyDescent="0.2">
      <c r="A1078" s="8" t="s">
        <v>1669</v>
      </c>
      <c r="B1078" s="8" t="s">
        <v>789</v>
      </c>
      <c r="C1078" s="8" t="s">
        <v>765</v>
      </c>
      <c r="D1078" s="29">
        <v>2019.9</v>
      </c>
      <c r="E1078" s="29">
        <v>2023.5</v>
      </c>
      <c r="F1078" s="29">
        <v>3.58</v>
      </c>
    </row>
    <row r="1079" spans="1:6" ht="15" customHeight="1" x14ac:dyDescent="0.2">
      <c r="A1079" s="8" t="s">
        <v>1670</v>
      </c>
      <c r="B1079" s="8" t="s">
        <v>789</v>
      </c>
      <c r="C1079" s="8" t="s">
        <v>761</v>
      </c>
      <c r="D1079" s="29">
        <v>2020</v>
      </c>
      <c r="E1079" s="29">
        <v>2024.8</v>
      </c>
      <c r="F1079" s="29">
        <v>4.83</v>
      </c>
    </row>
    <row r="1080" spans="1:6" ht="15" customHeight="1" x14ac:dyDescent="0.2">
      <c r="A1080" s="8" t="s">
        <v>1671</v>
      </c>
      <c r="B1080" s="8" t="s">
        <v>789</v>
      </c>
      <c r="C1080" s="8" t="s">
        <v>566</v>
      </c>
      <c r="D1080" s="29">
        <v>2020.4</v>
      </c>
      <c r="E1080" s="29">
        <v>2023.8</v>
      </c>
      <c r="F1080" s="29">
        <v>3.42</v>
      </c>
    </row>
    <row r="1081" spans="1:6" ht="15" customHeight="1" x14ac:dyDescent="0.2">
      <c r="A1081" s="8" t="s">
        <v>1672</v>
      </c>
      <c r="B1081" s="8" t="s">
        <v>789</v>
      </c>
      <c r="C1081" s="8" t="s">
        <v>765</v>
      </c>
      <c r="D1081" s="29">
        <v>2020.2</v>
      </c>
      <c r="E1081" s="29">
        <v>2023.8</v>
      </c>
      <c r="F1081" s="29">
        <v>3.67</v>
      </c>
    </row>
    <row r="1082" spans="1:6" ht="15" customHeight="1" x14ac:dyDescent="0.2">
      <c r="A1082" s="8" t="s">
        <v>1673</v>
      </c>
      <c r="B1082" s="8" t="s">
        <v>789</v>
      </c>
      <c r="C1082" s="8" t="s">
        <v>765</v>
      </c>
      <c r="D1082" s="29">
        <v>2020.2</v>
      </c>
      <c r="E1082" s="29">
        <v>2024.5</v>
      </c>
      <c r="F1082" s="29">
        <v>4.25</v>
      </c>
    </row>
    <row r="1083" spans="1:6" ht="15" customHeight="1" x14ac:dyDescent="0.2">
      <c r="A1083" s="8" t="s">
        <v>1674</v>
      </c>
      <c r="B1083" s="8" t="s">
        <v>789</v>
      </c>
      <c r="C1083" s="8" t="s">
        <v>765</v>
      </c>
      <c r="D1083" s="29">
        <v>2020.2</v>
      </c>
      <c r="E1083" s="29">
        <v>2024.3</v>
      </c>
      <c r="F1083" s="29">
        <v>4.08</v>
      </c>
    </row>
    <row r="1084" spans="1:6" ht="15" customHeight="1" x14ac:dyDescent="0.2">
      <c r="A1084" s="8" t="s">
        <v>1675</v>
      </c>
      <c r="B1084" s="8" t="s">
        <v>789</v>
      </c>
      <c r="C1084" s="8" t="s">
        <v>560</v>
      </c>
      <c r="D1084" s="29">
        <v>2020.4</v>
      </c>
      <c r="E1084" s="29">
        <v>2023.8</v>
      </c>
      <c r="F1084" s="29">
        <v>3.42</v>
      </c>
    </row>
    <row r="1085" spans="1:6" ht="15" customHeight="1" x14ac:dyDescent="0.2">
      <c r="A1085" s="8" t="s">
        <v>1676</v>
      </c>
      <c r="B1085" s="8" t="s">
        <v>789</v>
      </c>
      <c r="C1085" s="8" t="s">
        <v>765</v>
      </c>
      <c r="D1085" s="29">
        <v>2020.3</v>
      </c>
      <c r="E1085" s="29">
        <v>2024.4</v>
      </c>
      <c r="F1085" s="29">
        <v>4.08</v>
      </c>
    </row>
    <row r="1086" spans="1:6" ht="15" customHeight="1" x14ac:dyDescent="0.2">
      <c r="A1086" s="8" t="s">
        <v>1677</v>
      </c>
      <c r="B1086" s="8" t="s">
        <v>789</v>
      </c>
      <c r="C1086" s="8" t="s">
        <v>765</v>
      </c>
      <c r="D1086" s="29">
        <v>2020.4</v>
      </c>
      <c r="E1086" s="29">
        <v>2024.3</v>
      </c>
      <c r="F1086" s="29">
        <v>3.92</v>
      </c>
    </row>
    <row r="1087" spans="1:6" ht="15" customHeight="1" x14ac:dyDescent="0.2">
      <c r="A1087" s="8" t="s">
        <v>1678</v>
      </c>
      <c r="B1087" s="8" t="s">
        <v>789</v>
      </c>
      <c r="C1087" s="8" t="s">
        <v>566</v>
      </c>
      <c r="D1087" s="29">
        <v>2020.2</v>
      </c>
      <c r="E1087" s="29">
        <v>2025.5</v>
      </c>
      <c r="F1087" s="29">
        <v>5.25</v>
      </c>
    </row>
    <row r="1088" spans="1:6" ht="15" customHeight="1" x14ac:dyDescent="0.2">
      <c r="A1088" s="8" t="s">
        <v>1679</v>
      </c>
      <c r="B1088" s="8" t="s">
        <v>789</v>
      </c>
      <c r="C1088" s="8" t="s">
        <v>765</v>
      </c>
      <c r="D1088" s="29">
        <v>2020.2</v>
      </c>
      <c r="E1088" s="29">
        <v>2024.9</v>
      </c>
      <c r="F1088" s="29">
        <v>4.67</v>
      </c>
    </row>
    <row r="1089" spans="1:6" ht="15" customHeight="1" x14ac:dyDescent="0.2">
      <c r="A1089" s="8" t="s">
        <v>1680</v>
      </c>
      <c r="B1089" s="8" t="s">
        <v>789</v>
      </c>
      <c r="C1089" s="8" t="s">
        <v>765</v>
      </c>
      <c r="D1089" s="29">
        <v>2020.3</v>
      </c>
      <c r="E1089" s="29">
        <v>2024.3</v>
      </c>
      <c r="F1089" s="29">
        <v>4</v>
      </c>
    </row>
    <row r="1090" spans="1:6" ht="15" customHeight="1" x14ac:dyDescent="0.2">
      <c r="A1090" s="8" t="s">
        <v>1681</v>
      </c>
      <c r="B1090" s="8" t="s">
        <v>789</v>
      </c>
      <c r="C1090" s="8" t="s">
        <v>564</v>
      </c>
      <c r="D1090" s="29">
        <v>2020.4</v>
      </c>
      <c r="E1090" s="29">
        <v>2025.1</v>
      </c>
      <c r="F1090" s="29">
        <v>4.67</v>
      </c>
    </row>
    <row r="1091" spans="1:6" ht="15" customHeight="1" x14ac:dyDescent="0.2">
      <c r="A1091" s="8" t="s">
        <v>1682</v>
      </c>
      <c r="B1091" s="8" t="s">
        <v>789</v>
      </c>
      <c r="C1091" s="8" t="s">
        <v>566</v>
      </c>
      <c r="D1091" s="29">
        <v>2020.3</v>
      </c>
      <c r="E1091" s="29">
        <v>2024.2</v>
      </c>
      <c r="F1091" s="29">
        <v>3.92</v>
      </c>
    </row>
    <row r="1092" spans="1:6" ht="15" customHeight="1" x14ac:dyDescent="0.2">
      <c r="A1092" s="8" t="s">
        <v>1683</v>
      </c>
      <c r="B1092" s="8" t="s">
        <v>789</v>
      </c>
      <c r="C1092" s="8" t="s">
        <v>564</v>
      </c>
      <c r="D1092" s="29">
        <v>2020.4</v>
      </c>
      <c r="E1092" s="29">
        <v>2025.2</v>
      </c>
      <c r="F1092" s="29">
        <v>4.83</v>
      </c>
    </row>
    <row r="1093" spans="1:6" ht="15" customHeight="1" x14ac:dyDescent="0.2">
      <c r="A1093" s="8" t="s">
        <v>1684</v>
      </c>
      <c r="B1093" s="8" t="s">
        <v>789</v>
      </c>
      <c r="C1093" s="8" t="s">
        <v>566</v>
      </c>
      <c r="D1093" s="29">
        <v>2020.6</v>
      </c>
      <c r="E1093" s="29">
        <v>2025.5</v>
      </c>
      <c r="F1093" s="29">
        <v>4.92</v>
      </c>
    </row>
    <row r="1094" spans="1:6" ht="15" customHeight="1" x14ac:dyDescent="0.2">
      <c r="A1094" s="8" t="s">
        <v>1685</v>
      </c>
      <c r="B1094" s="8" t="s">
        <v>789</v>
      </c>
      <c r="C1094" s="8" t="s">
        <v>566</v>
      </c>
      <c r="D1094" s="29">
        <v>2020.4</v>
      </c>
      <c r="E1094" s="29">
        <v>2024.9</v>
      </c>
      <c r="F1094" s="29">
        <v>4.5</v>
      </c>
    </row>
    <row r="1095" spans="1:6" ht="15" customHeight="1" x14ac:dyDescent="0.2">
      <c r="A1095" s="8" t="s">
        <v>1686</v>
      </c>
      <c r="B1095" s="8" t="s">
        <v>789</v>
      </c>
      <c r="C1095" s="8" t="s">
        <v>566</v>
      </c>
      <c r="D1095" s="29">
        <v>2020.4</v>
      </c>
      <c r="E1095" s="29">
        <v>2023.8</v>
      </c>
      <c r="F1095" s="29">
        <v>3.42</v>
      </c>
    </row>
    <row r="1096" spans="1:6" ht="15" customHeight="1" x14ac:dyDescent="0.2">
      <c r="A1096" s="8" t="s">
        <v>1687</v>
      </c>
      <c r="B1096" s="8" t="s">
        <v>789</v>
      </c>
      <c r="C1096" s="8" t="s">
        <v>566</v>
      </c>
      <c r="D1096" s="29">
        <v>2020.4</v>
      </c>
      <c r="E1096" s="29">
        <v>2024</v>
      </c>
      <c r="F1096" s="29">
        <v>3.58</v>
      </c>
    </row>
    <row r="1097" spans="1:6" ht="15" customHeight="1" x14ac:dyDescent="0.2">
      <c r="A1097" s="8" t="s">
        <v>1688</v>
      </c>
      <c r="B1097" s="8" t="s">
        <v>789</v>
      </c>
      <c r="C1097" s="8" t="s">
        <v>765</v>
      </c>
      <c r="D1097" s="29">
        <v>2020.4</v>
      </c>
      <c r="E1097" s="29">
        <v>2024.2</v>
      </c>
      <c r="F1097" s="29">
        <v>3.83</v>
      </c>
    </row>
    <row r="1098" spans="1:6" ht="15" customHeight="1" x14ac:dyDescent="0.2">
      <c r="A1098" s="8" t="s">
        <v>1689</v>
      </c>
      <c r="B1098" s="8" t="s">
        <v>789</v>
      </c>
      <c r="C1098" s="8" t="s">
        <v>564</v>
      </c>
      <c r="D1098" s="29">
        <v>2020.5</v>
      </c>
      <c r="E1098" s="29">
        <v>2025.5</v>
      </c>
      <c r="F1098" s="29">
        <v>5</v>
      </c>
    </row>
    <row r="1099" spans="1:6" ht="15" customHeight="1" x14ac:dyDescent="0.2">
      <c r="A1099" s="8" t="s">
        <v>1690</v>
      </c>
      <c r="B1099" s="8" t="s">
        <v>789</v>
      </c>
      <c r="C1099" s="8" t="s">
        <v>562</v>
      </c>
      <c r="D1099" s="29">
        <v>2020.5</v>
      </c>
      <c r="E1099" s="29">
        <v>2022.8</v>
      </c>
      <c r="F1099" s="29">
        <v>2.33</v>
      </c>
    </row>
    <row r="1100" spans="1:6" ht="15" customHeight="1" x14ac:dyDescent="0.2">
      <c r="A1100" s="8" t="s">
        <v>1691</v>
      </c>
      <c r="B1100" s="8" t="s">
        <v>789</v>
      </c>
      <c r="C1100" s="8" t="s">
        <v>562</v>
      </c>
      <c r="D1100" s="29">
        <v>2020.5</v>
      </c>
      <c r="E1100" s="29">
        <v>2021.8</v>
      </c>
      <c r="F1100" s="29">
        <v>1.33</v>
      </c>
    </row>
    <row r="1101" spans="1:6" ht="15" customHeight="1" x14ac:dyDescent="0.2">
      <c r="A1101" s="8" t="s">
        <v>1692</v>
      </c>
      <c r="B1101" s="8" t="s">
        <v>789</v>
      </c>
      <c r="C1101" s="8" t="s">
        <v>765</v>
      </c>
      <c r="D1101" s="29">
        <v>2020.5</v>
      </c>
      <c r="E1101" s="29">
        <v>2024.3</v>
      </c>
      <c r="F1101" s="29">
        <v>3.83</v>
      </c>
    </row>
    <row r="1102" spans="1:6" ht="15" customHeight="1" x14ac:dyDescent="0.2">
      <c r="A1102" s="8" t="s">
        <v>1693</v>
      </c>
      <c r="B1102" s="8" t="s">
        <v>789</v>
      </c>
      <c r="C1102" s="8" t="s">
        <v>765</v>
      </c>
      <c r="D1102" s="29">
        <v>2020.5</v>
      </c>
      <c r="E1102" s="29">
        <v>2024.2</v>
      </c>
      <c r="F1102" s="29">
        <v>3.67</v>
      </c>
    </row>
    <row r="1103" spans="1:6" ht="15" customHeight="1" x14ac:dyDescent="0.2">
      <c r="A1103" s="8" t="s">
        <v>1694</v>
      </c>
      <c r="B1103" s="8" t="s">
        <v>789</v>
      </c>
      <c r="C1103" s="8" t="s">
        <v>564</v>
      </c>
      <c r="D1103" s="29">
        <v>2020.6</v>
      </c>
      <c r="E1103" s="29">
        <v>2025.2</v>
      </c>
      <c r="F1103" s="29">
        <v>4.67</v>
      </c>
    </row>
    <row r="1104" spans="1:6" ht="15" customHeight="1" x14ac:dyDescent="0.2">
      <c r="A1104" s="8" t="s">
        <v>1695</v>
      </c>
      <c r="B1104" s="8" t="s">
        <v>789</v>
      </c>
      <c r="C1104" s="8" t="s">
        <v>765</v>
      </c>
      <c r="D1104" s="29">
        <v>2020.7</v>
      </c>
      <c r="E1104" s="29">
        <v>2024.2</v>
      </c>
      <c r="F1104" s="29">
        <v>3.5</v>
      </c>
    </row>
    <row r="1105" spans="1:6" ht="15" customHeight="1" x14ac:dyDescent="0.2">
      <c r="A1105" s="8" t="s">
        <v>1696</v>
      </c>
      <c r="B1105" s="8" t="s">
        <v>789</v>
      </c>
      <c r="C1105" s="8" t="s">
        <v>566</v>
      </c>
      <c r="D1105" s="29">
        <v>2020.8</v>
      </c>
      <c r="E1105" s="29">
        <v>2025.1</v>
      </c>
      <c r="F1105" s="29">
        <v>4.25</v>
      </c>
    </row>
    <row r="1106" spans="1:6" ht="15" customHeight="1" x14ac:dyDescent="0.2">
      <c r="A1106" s="8" t="s">
        <v>1697</v>
      </c>
      <c r="B1106" s="8" t="s">
        <v>789</v>
      </c>
      <c r="C1106" s="8" t="s">
        <v>765</v>
      </c>
      <c r="D1106" s="29">
        <v>2020.8</v>
      </c>
      <c r="E1106" s="29">
        <v>2023.9</v>
      </c>
      <c r="F1106" s="29">
        <v>3.08</v>
      </c>
    </row>
    <row r="1107" spans="1:6" ht="15" customHeight="1" x14ac:dyDescent="0.2">
      <c r="A1107" s="8" t="s">
        <v>1698</v>
      </c>
      <c r="B1107" s="8" t="s">
        <v>789</v>
      </c>
      <c r="C1107" s="8" t="s">
        <v>566</v>
      </c>
      <c r="D1107" s="29">
        <v>2020.8</v>
      </c>
      <c r="E1107" s="29">
        <v>2025.8</v>
      </c>
      <c r="F1107" s="29">
        <v>5</v>
      </c>
    </row>
    <row r="1108" spans="1:6" ht="15" customHeight="1" x14ac:dyDescent="0.2">
      <c r="A1108" s="8" t="s">
        <v>1699</v>
      </c>
      <c r="B1108" s="8" t="s">
        <v>789</v>
      </c>
      <c r="C1108" s="8" t="s">
        <v>765</v>
      </c>
      <c r="D1108" s="29">
        <v>2020.8</v>
      </c>
      <c r="E1108" s="29">
        <v>2023.9</v>
      </c>
      <c r="F1108" s="29">
        <v>3.08</v>
      </c>
    </row>
    <row r="1109" spans="1:6" ht="15" customHeight="1" x14ac:dyDescent="0.2">
      <c r="A1109" s="8" t="s">
        <v>1700</v>
      </c>
      <c r="B1109" s="8" t="s">
        <v>789</v>
      </c>
      <c r="C1109" s="8" t="s">
        <v>566</v>
      </c>
      <c r="D1109" s="29">
        <v>2020.7</v>
      </c>
      <c r="E1109" s="29">
        <v>2024</v>
      </c>
      <c r="F1109" s="29">
        <v>3.33</v>
      </c>
    </row>
    <row r="1110" spans="1:6" ht="15" customHeight="1" x14ac:dyDescent="0.2">
      <c r="A1110" s="8" t="s">
        <v>1701</v>
      </c>
      <c r="B1110" s="8" t="s">
        <v>789</v>
      </c>
      <c r="C1110" s="8" t="s">
        <v>765</v>
      </c>
      <c r="D1110" s="29">
        <v>2020.8</v>
      </c>
      <c r="E1110" s="29">
        <v>2023.9</v>
      </c>
      <c r="F1110" s="29">
        <v>3.17</v>
      </c>
    </row>
    <row r="1111" spans="1:6" ht="15" customHeight="1" x14ac:dyDescent="0.2">
      <c r="A1111" s="8" t="s">
        <v>1702</v>
      </c>
      <c r="B1111" s="8" t="s">
        <v>789</v>
      </c>
      <c r="C1111" s="8" t="s">
        <v>765</v>
      </c>
      <c r="D1111" s="29">
        <v>2020.8</v>
      </c>
      <c r="E1111" s="29">
        <v>2022.8</v>
      </c>
      <c r="F1111" s="29">
        <v>2</v>
      </c>
    </row>
    <row r="1112" spans="1:6" ht="15" customHeight="1" x14ac:dyDescent="0.2">
      <c r="A1112" s="8" t="s">
        <v>1703</v>
      </c>
      <c r="B1112" s="8" t="s">
        <v>789</v>
      </c>
      <c r="C1112" s="8" t="s">
        <v>566</v>
      </c>
      <c r="D1112" s="29">
        <v>2020.9</v>
      </c>
      <c r="E1112" s="29">
        <v>2024.4</v>
      </c>
      <c r="F1112" s="29">
        <v>3.5</v>
      </c>
    </row>
    <row r="1113" spans="1:6" ht="15" customHeight="1" x14ac:dyDescent="0.2">
      <c r="A1113" s="8" t="s">
        <v>1704</v>
      </c>
      <c r="B1113" s="8" t="s">
        <v>789</v>
      </c>
      <c r="C1113" s="8" t="s">
        <v>765</v>
      </c>
      <c r="D1113" s="29">
        <v>2021</v>
      </c>
      <c r="E1113" s="29">
        <v>2023.9</v>
      </c>
      <c r="F1113" s="29">
        <v>2.92</v>
      </c>
    </row>
    <row r="1114" spans="1:6" ht="15" customHeight="1" x14ac:dyDescent="0.2">
      <c r="A1114" s="8" t="s">
        <v>1705</v>
      </c>
      <c r="B1114" s="8" t="s">
        <v>789</v>
      </c>
      <c r="C1114" s="8" t="s">
        <v>765</v>
      </c>
      <c r="D1114" s="29">
        <v>2021.2</v>
      </c>
      <c r="E1114" s="29">
        <v>2024.6</v>
      </c>
      <c r="F1114" s="29">
        <v>3.42</v>
      </c>
    </row>
    <row r="1115" spans="1:6" ht="15" customHeight="1" x14ac:dyDescent="0.2">
      <c r="A1115" s="8" t="s">
        <v>1706</v>
      </c>
      <c r="B1115" s="8" t="s">
        <v>789</v>
      </c>
      <c r="C1115" s="8" t="s">
        <v>765</v>
      </c>
      <c r="D1115" s="29">
        <v>2021.2</v>
      </c>
      <c r="E1115" s="29">
        <v>2023.9</v>
      </c>
      <c r="F1115" s="29">
        <v>2.75</v>
      </c>
    </row>
    <row r="1116" spans="1:6" ht="15" customHeight="1" x14ac:dyDescent="0.2">
      <c r="A1116" s="8" t="s">
        <v>1707</v>
      </c>
      <c r="B1116" s="8" t="s">
        <v>789</v>
      </c>
      <c r="C1116" s="8" t="s">
        <v>560</v>
      </c>
      <c r="D1116" s="29">
        <v>2021.1</v>
      </c>
      <c r="E1116" s="29">
        <v>2023.9</v>
      </c>
      <c r="F1116" s="29">
        <v>2.83</v>
      </c>
    </row>
    <row r="1117" spans="1:6" ht="15" customHeight="1" x14ac:dyDescent="0.2">
      <c r="A1117" s="8" t="s">
        <v>1708</v>
      </c>
      <c r="B1117" s="8" t="s">
        <v>789</v>
      </c>
      <c r="C1117" s="8" t="s">
        <v>765</v>
      </c>
      <c r="D1117" s="29">
        <v>2021.2</v>
      </c>
      <c r="E1117" s="29">
        <v>2023.5</v>
      </c>
      <c r="F1117" s="29">
        <v>2.33</v>
      </c>
    </row>
    <row r="1118" spans="1:6" ht="15" customHeight="1" x14ac:dyDescent="0.2">
      <c r="A1118" s="8" t="s">
        <v>1709</v>
      </c>
      <c r="B1118" s="8" t="s">
        <v>789</v>
      </c>
      <c r="C1118" s="8" t="s">
        <v>566</v>
      </c>
      <c r="D1118" s="29">
        <v>2021.2</v>
      </c>
      <c r="E1118" s="29">
        <v>2024.9</v>
      </c>
      <c r="F1118" s="29">
        <v>3.75</v>
      </c>
    </row>
    <row r="1119" spans="1:6" ht="15" customHeight="1" x14ac:dyDescent="0.2">
      <c r="A1119" s="8" t="s">
        <v>1710</v>
      </c>
      <c r="B1119" s="8" t="s">
        <v>789</v>
      </c>
      <c r="C1119" s="8" t="s">
        <v>765</v>
      </c>
      <c r="D1119" s="29">
        <v>2021.2</v>
      </c>
      <c r="E1119" s="29">
        <v>2024.2</v>
      </c>
      <c r="F1119" s="29">
        <v>2.92</v>
      </c>
    </row>
    <row r="1120" spans="1:6" ht="15" customHeight="1" x14ac:dyDescent="0.2">
      <c r="A1120" s="8" t="s">
        <v>1711</v>
      </c>
      <c r="B1120" s="8" t="s">
        <v>789</v>
      </c>
      <c r="C1120" s="8" t="s">
        <v>564</v>
      </c>
      <c r="D1120" s="29">
        <v>2021.2</v>
      </c>
      <c r="E1120" s="29">
        <v>2025.5</v>
      </c>
      <c r="F1120" s="29">
        <v>4.25</v>
      </c>
    </row>
    <row r="1121" spans="1:6" ht="15" customHeight="1" x14ac:dyDescent="0.2">
      <c r="A1121" s="8" t="s">
        <v>1712</v>
      </c>
      <c r="B1121" s="8" t="s">
        <v>789</v>
      </c>
      <c r="C1121" s="8" t="s">
        <v>562</v>
      </c>
      <c r="D1121" s="29">
        <v>2021.2</v>
      </c>
      <c r="E1121" s="29">
        <v>2022.6</v>
      </c>
      <c r="F1121" s="29">
        <v>1.33</v>
      </c>
    </row>
    <row r="1122" spans="1:6" ht="15" customHeight="1" x14ac:dyDescent="0.2">
      <c r="A1122" s="8" t="s">
        <v>1713</v>
      </c>
      <c r="B1122" s="8" t="s">
        <v>789</v>
      </c>
      <c r="C1122" s="8" t="s">
        <v>564</v>
      </c>
      <c r="D1122" s="29">
        <v>2021.6</v>
      </c>
      <c r="E1122" s="29">
        <v>2025.8</v>
      </c>
      <c r="F1122" s="29">
        <v>4.25</v>
      </c>
    </row>
    <row r="1123" spans="1:6" ht="15" customHeight="1" x14ac:dyDescent="0.2">
      <c r="A1123" s="8" t="s">
        <v>1714</v>
      </c>
      <c r="B1123" s="8" t="s">
        <v>789</v>
      </c>
      <c r="C1123" s="8" t="s">
        <v>1494</v>
      </c>
      <c r="D1123" s="29">
        <v>2021.8</v>
      </c>
      <c r="E1123" s="29">
        <v>2024.2</v>
      </c>
      <c r="F1123" s="29">
        <v>2.5</v>
      </c>
    </row>
    <row r="1124" spans="1:6" ht="15" customHeight="1" x14ac:dyDescent="0.2">
      <c r="A1124" s="8" t="s">
        <v>1715</v>
      </c>
      <c r="B1124" s="8" t="s">
        <v>789</v>
      </c>
      <c r="C1124" s="8" t="s">
        <v>765</v>
      </c>
      <c r="D1124" s="29">
        <v>2021.5</v>
      </c>
      <c r="E1124" s="29">
        <v>2023.5</v>
      </c>
      <c r="F1124" s="29">
        <v>2</v>
      </c>
    </row>
    <row r="1125" spans="1:6" ht="15" customHeight="1" x14ac:dyDescent="0.2">
      <c r="A1125" s="8" t="s">
        <v>1716</v>
      </c>
      <c r="B1125" s="8" t="s">
        <v>789</v>
      </c>
      <c r="C1125" s="8" t="s">
        <v>560</v>
      </c>
      <c r="D1125" s="29">
        <v>2021.9</v>
      </c>
      <c r="E1125" s="29">
        <v>2024.2</v>
      </c>
      <c r="F1125" s="29">
        <v>2.33</v>
      </c>
    </row>
    <row r="1126" spans="1:6" ht="15" customHeight="1" x14ac:dyDescent="0.2">
      <c r="A1126" s="8" t="s">
        <v>1717</v>
      </c>
      <c r="B1126" s="8" t="s">
        <v>789</v>
      </c>
      <c r="C1126" s="8" t="s">
        <v>765</v>
      </c>
      <c r="D1126" s="29">
        <v>2022.2</v>
      </c>
      <c r="E1126" s="29">
        <v>2022.8</v>
      </c>
      <c r="F1126" s="29">
        <v>0.5</v>
      </c>
    </row>
    <row r="1127" spans="1:6" ht="15" customHeight="1" x14ac:dyDescent="0.2">
      <c r="A1127" s="8" t="s">
        <v>1718</v>
      </c>
      <c r="B1127" s="8" t="s">
        <v>789</v>
      </c>
      <c r="C1127" s="8" t="s">
        <v>562</v>
      </c>
      <c r="D1127" s="29">
        <v>2022.3</v>
      </c>
      <c r="E1127" s="29">
        <v>2022.4</v>
      </c>
      <c r="F1127" s="29">
        <v>0.08</v>
      </c>
    </row>
    <row r="1128" spans="1:6" ht="15" customHeight="1" x14ac:dyDescent="0.2">
      <c r="A1128" s="8" t="s">
        <v>1719</v>
      </c>
      <c r="B1128" s="8" t="s">
        <v>789</v>
      </c>
      <c r="C1128" s="8" t="s">
        <v>765</v>
      </c>
      <c r="D1128" s="29">
        <v>2023.2</v>
      </c>
      <c r="E1128" s="29">
        <v>2024.8</v>
      </c>
      <c r="F1128" s="29">
        <v>1.58</v>
      </c>
    </row>
    <row r="1129" spans="1:6" ht="15" customHeight="1" x14ac:dyDescent="0.2">
      <c r="A1129" s="8" t="s">
        <v>1720</v>
      </c>
      <c r="B1129" s="8" t="s">
        <v>789</v>
      </c>
      <c r="C1129" s="8" t="s">
        <v>562</v>
      </c>
      <c r="D1129" s="29">
        <v>2020.5</v>
      </c>
      <c r="E1129" s="29">
        <v>2023</v>
      </c>
      <c r="F1129" s="29">
        <v>2.5</v>
      </c>
    </row>
    <row r="1130" spans="1:6" ht="15" customHeight="1" x14ac:dyDescent="0.2">
      <c r="A1130" s="8" t="s">
        <v>1721</v>
      </c>
      <c r="B1130" s="8" t="s">
        <v>789</v>
      </c>
      <c r="C1130" s="8" t="s">
        <v>564</v>
      </c>
      <c r="D1130" s="29">
        <v>2022.8</v>
      </c>
      <c r="E1130" s="29">
        <v>2025.9</v>
      </c>
      <c r="F1130" s="29">
        <v>3.08</v>
      </c>
    </row>
    <row r="1131" spans="1:6" ht="15" customHeight="1" x14ac:dyDescent="0.2">
      <c r="A1131" s="8" t="s">
        <v>1722</v>
      </c>
      <c r="B1131" s="8" t="s">
        <v>789</v>
      </c>
      <c r="C1131" s="8" t="s">
        <v>765</v>
      </c>
      <c r="D1131" s="29">
        <v>2020</v>
      </c>
      <c r="E1131" s="29">
        <v>2023.4</v>
      </c>
      <c r="F1131" s="29">
        <v>3.42</v>
      </c>
    </row>
    <row r="1132" spans="1:6" ht="15" customHeight="1" x14ac:dyDescent="0.2">
      <c r="A1132" s="8" t="s">
        <v>1723</v>
      </c>
      <c r="B1132" s="8" t="s">
        <v>789</v>
      </c>
      <c r="C1132" s="8" t="s">
        <v>566</v>
      </c>
      <c r="D1132" s="29">
        <v>2020.1</v>
      </c>
      <c r="E1132" s="29">
        <v>2024.6</v>
      </c>
      <c r="F1132" s="29">
        <v>4.5</v>
      </c>
    </row>
    <row r="1133" spans="1:6" ht="15" customHeight="1" x14ac:dyDescent="0.2">
      <c r="A1133" s="8" t="s">
        <v>1724</v>
      </c>
      <c r="B1133" s="8" t="s">
        <v>789</v>
      </c>
      <c r="C1133" s="8" t="s">
        <v>566</v>
      </c>
      <c r="D1133" s="29">
        <v>2020.4</v>
      </c>
      <c r="E1133" s="29">
        <v>2025.8</v>
      </c>
      <c r="F1133" s="29">
        <v>5.42</v>
      </c>
    </row>
    <row r="1134" spans="1:6" ht="15" customHeight="1" x14ac:dyDescent="0.2">
      <c r="A1134" s="8" t="s">
        <v>1725</v>
      </c>
      <c r="B1134" s="8" t="s">
        <v>789</v>
      </c>
      <c r="C1134" s="8" t="s">
        <v>765</v>
      </c>
      <c r="D1134" s="29">
        <v>2020.6</v>
      </c>
      <c r="E1134" s="29">
        <v>2025</v>
      </c>
      <c r="F1134" s="29">
        <v>4.42</v>
      </c>
    </row>
    <row r="1135" spans="1:6" ht="15" customHeight="1" x14ac:dyDescent="0.2">
      <c r="A1135" s="8" t="s">
        <v>1726</v>
      </c>
      <c r="B1135" s="8" t="s">
        <v>789</v>
      </c>
      <c r="C1135" s="8" t="s">
        <v>564</v>
      </c>
      <c r="D1135" s="29">
        <v>2020.7</v>
      </c>
      <c r="E1135" s="29">
        <v>2025.5</v>
      </c>
      <c r="F1135" s="29">
        <v>4.83</v>
      </c>
    </row>
    <row r="1136" spans="1:6" ht="15" customHeight="1" x14ac:dyDescent="0.2">
      <c r="A1136" s="8" t="s">
        <v>1727</v>
      </c>
      <c r="B1136" s="8" t="s">
        <v>789</v>
      </c>
      <c r="C1136" s="8" t="s">
        <v>562</v>
      </c>
      <c r="D1136" s="29">
        <v>2020.8</v>
      </c>
      <c r="E1136" s="29">
        <v>2023.4</v>
      </c>
      <c r="F1136" s="29">
        <v>2.67</v>
      </c>
    </row>
    <row r="1137" spans="1:6" ht="15" customHeight="1" x14ac:dyDescent="0.2">
      <c r="A1137" s="8" t="s">
        <v>1728</v>
      </c>
      <c r="B1137" s="8" t="s">
        <v>789</v>
      </c>
      <c r="C1137" s="8" t="s">
        <v>765</v>
      </c>
      <c r="D1137" s="29">
        <v>2020.8</v>
      </c>
      <c r="E1137" s="29">
        <v>2024.9</v>
      </c>
      <c r="F1137" s="29">
        <v>4.17</v>
      </c>
    </row>
    <row r="1138" spans="1:6" ht="15" customHeight="1" x14ac:dyDescent="0.2">
      <c r="A1138" s="8" t="s">
        <v>1729</v>
      </c>
      <c r="B1138" s="8" t="s">
        <v>789</v>
      </c>
      <c r="C1138" s="8" t="s">
        <v>566</v>
      </c>
      <c r="D1138" s="29">
        <v>2021</v>
      </c>
      <c r="E1138" s="29">
        <v>2024.9</v>
      </c>
      <c r="F1138" s="29">
        <v>3.92</v>
      </c>
    </row>
    <row r="1139" spans="1:6" ht="15" customHeight="1" x14ac:dyDescent="0.2">
      <c r="A1139" s="8" t="s">
        <v>1730</v>
      </c>
      <c r="B1139" s="8" t="s">
        <v>789</v>
      </c>
      <c r="C1139" s="8" t="s">
        <v>564</v>
      </c>
      <c r="D1139" s="29">
        <v>2021.1</v>
      </c>
      <c r="E1139" s="29">
        <v>2025.8</v>
      </c>
      <c r="F1139" s="29">
        <v>4.75</v>
      </c>
    </row>
    <row r="1140" spans="1:6" ht="15" customHeight="1" x14ac:dyDescent="0.2">
      <c r="A1140" s="8" t="s">
        <v>1731</v>
      </c>
      <c r="B1140" s="8" t="s">
        <v>789</v>
      </c>
      <c r="C1140" s="8" t="s">
        <v>765</v>
      </c>
      <c r="D1140" s="29">
        <v>2021.1</v>
      </c>
      <c r="E1140" s="29">
        <v>2023.9</v>
      </c>
      <c r="F1140" s="29">
        <v>2.83</v>
      </c>
    </row>
    <row r="1141" spans="1:6" ht="15" customHeight="1" x14ac:dyDescent="0.2">
      <c r="A1141" s="8" t="s">
        <v>1732</v>
      </c>
      <c r="B1141" s="8" t="s">
        <v>789</v>
      </c>
      <c r="C1141" s="8" t="s">
        <v>761</v>
      </c>
      <c r="D1141" s="29">
        <v>2021</v>
      </c>
      <c r="E1141" s="29">
        <v>2023.8</v>
      </c>
      <c r="F1141" s="29">
        <v>2.75</v>
      </c>
    </row>
    <row r="1142" spans="1:6" ht="15" customHeight="1" x14ac:dyDescent="0.2">
      <c r="A1142" s="8" t="s">
        <v>1733</v>
      </c>
      <c r="B1142" s="8" t="s">
        <v>789</v>
      </c>
      <c r="C1142" s="8" t="s">
        <v>765</v>
      </c>
      <c r="D1142" s="29">
        <v>2021.1</v>
      </c>
      <c r="E1142" s="29">
        <v>2024.4</v>
      </c>
      <c r="F1142" s="29">
        <v>3.33</v>
      </c>
    </row>
    <row r="1143" spans="1:6" ht="15" customHeight="1" x14ac:dyDescent="0.2">
      <c r="A1143" s="8" t="s">
        <v>1734</v>
      </c>
      <c r="B1143" s="8" t="s">
        <v>789</v>
      </c>
      <c r="C1143" s="8" t="s">
        <v>765</v>
      </c>
      <c r="D1143" s="29">
        <v>2021.1</v>
      </c>
      <c r="E1143" s="29">
        <v>2024.4</v>
      </c>
      <c r="F1143" s="29">
        <v>3.33</v>
      </c>
    </row>
    <row r="1144" spans="1:6" ht="15" customHeight="1" x14ac:dyDescent="0.2">
      <c r="A1144" s="8" t="s">
        <v>1735</v>
      </c>
      <c r="B1144" s="8" t="s">
        <v>789</v>
      </c>
      <c r="C1144" s="8" t="s">
        <v>564</v>
      </c>
      <c r="D1144" s="29">
        <v>2021</v>
      </c>
      <c r="E1144" s="29">
        <v>2025.1</v>
      </c>
      <c r="F1144" s="29">
        <v>4.08</v>
      </c>
    </row>
    <row r="1145" spans="1:6" ht="15" customHeight="1" x14ac:dyDescent="0.2">
      <c r="A1145" s="8" t="s">
        <v>1736</v>
      </c>
      <c r="B1145" s="8" t="s">
        <v>789</v>
      </c>
      <c r="C1145" s="8" t="s">
        <v>564</v>
      </c>
      <c r="D1145" s="29">
        <v>2021.1</v>
      </c>
      <c r="E1145" s="29">
        <v>2025</v>
      </c>
      <c r="F1145" s="29">
        <v>3.92</v>
      </c>
    </row>
    <row r="1146" spans="1:6" ht="15" customHeight="1" x14ac:dyDescent="0.2">
      <c r="A1146" s="8" t="s">
        <v>1737</v>
      </c>
      <c r="B1146" s="8" t="s">
        <v>789</v>
      </c>
      <c r="C1146" s="8" t="s">
        <v>564</v>
      </c>
      <c r="D1146" s="29">
        <v>2021.2</v>
      </c>
      <c r="E1146" s="29">
        <v>2025.1</v>
      </c>
      <c r="F1146" s="29">
        <v>3.92</v>
      </c>
    </row>
    <row r="1147" spans="1:6" ht="15" customHeight="1" x14ac:dyDescent="0.2">
      <c r="A1147" s="8" t="s">
        <v>1738</v>
      </c>
      <c r="B1147" s="8" t="s">
        <v>789</v>
      </c>
      <c r="C1147" s="8" t="s">
        <v>765</v>
      </c>
      <c r="D1147" s="29">
        <v>2021.2</v>
      </c>
      <c r="E1147" s="29">
        <v>2024.6</v>
      </c>
      <c r="F1147" s="29">
        <v>3.33</v>
      </c>
    </row>
    <row r="1148" spans="1:6" ht="15" customHeight="1" x14ac:dyDescent="0.2">
      <c r="A1148" s="8" t="s">
        <v>1739</v>
      </c>
      <c r="B1148" s="8" t="s">
        <v>789</v>
      </c>
      <c r="C1148" s="8" t="s">
        <v>564</v>
      </c>
      <c r="D1148" s="29">
        <v>2021.4</v>
      </c>
      <c r="E1148" s="29">
        <v>2025.5</v>
      </c>
      <c r="F1148" s="29">
        <v>4.08</v>
      </c>
    </row>
    <row r="1149" spans="1:6" ht="15" customHeight="1" x14ac:dyDescent="0.2">
      <c r="A1149" s="8" t="s">
        <v>1740</v>
      </c>
      <c r="B1149" s="8" t="s">
        <v>789</v>
      </c>
      <c r="C1149" s="8" t="s">
        <v>562</v>
      </c>
      <c r="D1149" s="29">
        <v>2021.6</v>
      </c>
      <c r="E1149" s="29">
        <v>2024.3</v>
      </c>
      <c r="F1149" s="29">
        <v>2.75</v>
      </c>
    </row>
    <row r="1150" spans="1:6" ht="15" customHeight="1" x14ac:dyDescent="0.2">
      <c r="A1150" s="8" t="s">
        <v>1741</v>
      </c>
      <c r="B1150" s="8" t="s">
        <v>789</v>
      </c>
      <c r="C1150" s="8" t="s">
        <v>761</v>
      </c>
      <c r="D1150" s="29">
        <v>2021.6</v>
      </c>
      <c r="E1150" s="29">
        <v>2025.9</v>
      </c>
      <c r="F1150" s="29">
        <v>4.33</v>
      </c>
    </row>
    <row r="1151" spans="1:6" ht="15" customHeight="1" x14ac:dyDescent="0.2">
      <c r="A1151" s="8" t="s">
        <v>1742</v>
      </c>
      <c r="B1151" s="8" t="s">
        <v>789</v>
      </c>
      <c r="C1151" s="8" t="s">
        <v>765</v>
      </c>
      <c r="D1151" s="29">
        <v>2021.6</v>
      </c>
      <c r="E1151" s="29">
        <v>2024.2</v>
      </c>
      <c r="F1151" s="29">
        <v>2.67</v>
      </c>
    </row>
    <row r="1152" spans="1:6" ht="15" customHeight="1" x14ac:dyDescent="0.2">
      <c r="A1152" s="8" t="s">
        <v>1743</v>
      </c>
      <c r="B1152" s="8" t="s">
        <v>789</v>
      </c>
      <c r="C1152" s="8" t="s">
        <v>765</v>
      </c>
      <c r="D1152" s="29">
        <v>2021.7</v>
      </c>
      <c r="E1152" s="29">
        <v>2024.4</v>
      </c>
      <c r="F1152" s="29">
        <v>2.75</v>
      </c>
    </row>
    <row r="1153" spans="1:6" ht="15" customHeight="1" x14ac:dyDescent="0.2">
      <c r="A1153" s="8" t="s">
        <v>1744</v>
      </c>
      <c r="B1153" s="8" t="s">
        <v>789</v>
      </c>
      <c r="C1153" s="8" t="s">
        <v>765</v>
      </c>
      <c r="D1153" s="29">
        <v>2021.7</v>
      </c>
      <c r="E1153" s="29">
        <v>2023.9</v>
      </c>
      <c r="F1153" s="29">
        <v>2.25</v>
      </c>
    </row>
    <row r="1154" spans="1:6" ht="15" customHeight="1" x14ac:dyDescent="0.2">
      <c r="A1154" s="8" t="s">
        <v>1745</v>
      </c>
      <c r="B1154" s="8" t="s">
        <v>789</v>
      </c>
      <c r="C1154" s="8" t="s">
        <v>564</v>
      </c>
      <c r="D1154" s="29">
        <v>2021.8</v>
      </c>
      <c r="E1154" s="29">
        <v>2025.2</v>
      </c>
      <c r="F1154" s="29">
        <v>3.42</v>
      </c>
    </row>
    <row r="1155" spans="1:6" ht="15" customHeight="1" x14ac:dyDescent="0.2">
      <c r="A1155" s="8" t="s">
        <v>1746</v>
      </c>
      <c r="B1155" s="8" t="s">
        <v>789</v>
      </c>
      <c r="C1155" s="8" t="s">
        <v>560</v>
      </c>
      <c r="D1155" s="29">
        <v>2021.8</v>
      </c>
      <c r="E1155" s="29">
        <v>2025.1</v>
      </c>
      <c r="F1155" s="29">
        <v>3.33</v>
      </c>
    </row>
    <row r="1156" spans="1:6" ht="15" customHeight="1" x14ac:dyDescent="0.2">
      <c r="A1156" s="8" t="s">
        <v>1747</v>
      </c>
      <c r="B1156" s="8" t="s">
        <v>789</v>
      </c>
      <c r="C1156" s="8" t="s">
        <v>765</v>
      </c>
      <c r="D1156" s="29">
        <v>2021.8</v>
      </c>
      <c r="E1156" s="29">
        <v>2024.8</v>
      </c>
      <c r="F1156" s="29">
        <v>3.08</v>
      </c>
    </row>
    <row r="1157" spans="1:6" ht="15" customHeight="1" x14ac:dyDescent="0.2">
      <c r="A1157" s="8" t="s">
        <v>1748</v>
      </c>
      <c r="B1157" s="8" t="s">
        <v>789</v>
      </c>
      <c r="C1157" s="8" t="s">
        <v>562</v>
      </c>
      <c r="D1157" s="29">
        <v>2021.8</v>
      </c>
      <c r="E1157" s="29">
        <v>2024.2</v>
      </c>
      <c r="F1157" s="29">
        <v>2.42</v>
      </c>
    </row>
    <row r="1158" spans="1:6" ht="15" customHeight="1" x14ac:dyDescent="0.2">
      <c r="A1158" s="8" t="s">
        <v>1749</v>
      </c>
      <c r="B1158" s="8" t="s">
        <v>789</v>
      </c>
      <c r="C1158" s="8" t="s">
        <v>765</v>
      </c>
      <c r="D1158" s="29">
        <v>2021.8</v>
      </c>
      <c r="E1158" s="29">
        <v>2024.2</v>
      </c>
      <c r="F1158" s="29">
        <v>2.33</v>
      </c>
    </row>
    <row r="1159" spans="1:6" ht="15" customHeight="1" x14ac:dyDescent="0.2">
      <c r="A1159" s="8" t="s">
        <v>1750</v>
      </c>
      <c r="B1159" s="8" t="s">
        <v>789</v>
      </c>
      <c r="C1159" s="8" t="s">
        <v>765</v>
      </c>
      <c r="D1159" s="29">
        <v>2022.4</v>
      </c>
      <c r="E1159" s="29">
        <v>2024.3</v>
      </c>
      <c r="F1159" s="29">
        <v>1.92</v>
      </c>
    </row>
    <row r="1160" spans="1:6" ht="15" customHeight="1" x14ac:dyDescent="0.2">
      <c r="A1160" s="8" t="s">
        <v>1751</v>
      </c>
      <c r="B1160" s="8" t="s">
        <v>789</v>
      </c>
      <c r="C1160" s="8" t="s">
        <v>765</v>
      </c>
      <c r="D1160" s="29">
        <v>2022.3</v>
      </c>
      <c r="E1160" s="29">
        <v>2024.6</v>
      </c>
      <c r="F1160" s="29">
        <v>2.25</v>
      </c>
    </row>
    <row r="1161" spans="1:6" ht="15" customHeight="1" x14ac:dyDescent="0.2">
      <c r="A1161" s="8" t="s">
        <v>1752</v>
      </c>
      <c r="B1161" s="8" t="s">
        <v>789</v>
      </c>
      <c r="C1161" s="8" t="s">
        <v>562</v>
      </c>
      <c r="D1161" s="29">
        <v>2022.2</v>
      </c>
      <c r="E1161" s="29">
        <v>2023.6</v>
      </c>
      <c r="F1161" s="29">
        <v>1.42</v>
      </c>
    </row>
    <row r="1162" spans="1:6" ht="15" customHeight="1" x14ac:dyDescent="0.2">
      <c r="A1162" s="8" t="s">
        <v>1753</v>
      </c>
      <c r="B1162" s="8" t="s">
        <v>789</v>
      </c>
      <c r="C1162" s="8" t="s">
        <v>765</v>
      </c>
      <c r="D1162" s="29">
        <v>2023.5</v>
      </c>
      <c r="E1162" s="29">
        <v>2024.4</v>
      </c>
      <c r="F1162" s="29">
        <v>0.92</v>
      </c>
    </row>
    <row r="1163" spans="1:6" ht="15" customHeight="1" x14ac:dyDescent="0.2">
      <c r="A1163" s="8" t="s">
        <v>1754</v>
      </c>
      <c r="B1163" s="8" t="s">
        <v>789</v>
      </c>
      <c r="C1163" s="8" t="s">
        <v>765</v>
      </c>
      <c r="D1163" s="29">
        <v>2023.6</v>
      </c>
      <c r="E1163" s="29">
        <v>2024.8</v>
      </c>
      <c r="F1163" s="29">
        <v>1.25</v>
      </c>
    </row>
    <row r="1164" spans="1:6" ht="15" customHeight="1" x14ac:dyDescent="0.2">
      <c r="A1164" s="8" t="s">
        <v>1755</v>
      </c>
      <c r="B1164" s="8" t="s">
        <v>789</v>
      </c>
      <c r="C1164" s="8" t="s">
        <v>562</v>
      </c>
      <c r="D1164" s="29">
        <v>2020.9</v>
      </c>
      <c r="E1164" s="29">
        <v>2024.9</v>
      </c>
      <c r="F1164" s="29">
        <v>4</v>
      </c>
    </row>
    <row r="1165" spans="1:6" ht="15" customHeight="1" x14ac:dyDescent="0.2">
      <c r="A1165" s="8" t="s">
        <v>1756</v>
      </c>
      <c r="B1165" s="8" t="s">
        <v>789</v>
      </c>
      <c r="C1165" s="8" t="s">
        <v>560</v>
      </c>
      <c r="D1165" s="29">
        <v>2022.6</v>
      </c>
      <c r="E1165" s="29">
        <v>2024.4</v>
      </c>
      <c r="F1165" s="29">
        <v>1.83</v>
      </c>
    </row>
    <row r="1166" spans="1:6" ht="15" customHeight="1" x14ac:dyDescent="0.2">
      <c r="A1166" s="8" t="s">
        <v>1757</v>
      </c>
      <c r="B1166" s="8" t="s">
        <v>789</v>
      </c>
      <c r="C1166" s="8" t="s">
        <v>566</v>
      </c>
      <c r="D1166" s="29">
        <v>2016.9</v>
      </c>
      <c r="E1166" s="29">
        <v>2023.8</v>
      </c>
      <c r="F1166" s="29">
        <v>6.83</v>
      </c>
    </row>
    <row r="1167" spans="1:6" ht="15" customHeight="1" x14ac:dyDescent="0.2">
      <c r="A1167" s="8" t="s">
        <v>1758</v>
      </c>
      <c r="B1167" s="8" t="s">
        <v>789</v>
      </c>
      <c r="C1167" s="8" t="s">
        <v>765</v>
      </c>
      <c r="D1167" s="29">
        <v>2023.5</v>
      </c>
      <c r="E1167" s="29">
        <v>2024.8</v>
      </c>
      <c r="F1167" s="29">
        <v>1.33</v>
      </c>
    </row>
    <row r="1168" spans="1:6" ht="15" customHeight="1" x14ac:dyDescent="0.2">
      <c r="A1168" s="8" t="s">
        <v>1759</v>
      </c>
      <c r="B1168" s="8" t="s">
        <v>789</v>
      </c>
      <c r="C1168" s="8" t="s">
        <v>765</v>
      </c>
      <c r="D1168" s="29">
        <v>2023.3</v>
      </c>
      <c r="E1168" s="29">
        <v>2024.5</v>
      </c>
      <c r="F1168" s="29">
        <v>1.17</v>
      </c>
    </row>
    <row r="1169" spans="1:6" ht="15" customHeight="1" x14ac:dyDescent="0.2">
      <c r="A1169" s="8" t="s">
        <v>1760</v>
      </c>
      <c r="B1169" s="8" t="s">
        <v>789</v>
      </c>
      <c r="C1169" s="8" t="s">
        <v>765</v>
      </c>
      <c r="D1169" s="29">
        <v>2022.8</v>
      </c>
      <c r="E1169" s="29">
        <v>2024.4</v>
      </c>
      <c r="F1169" s="29">
        <v>1.58</v>
      </c>
    </row>
    <row r="1170" spans="1:6" ht="15" customHeight="1" x14ac:dyDescent="0.2">
      <c r="A1170" s="8" t="s">
        <v>1761</v>
      </c>
      <c r="B1170" s="8" t="s">
        <v>789</v>
      </c>
      <c r="C1170" s="8" t="s">
        <v>765</v>
      </c>
      <c r="D1170" s="29">
        <v>2023</v>
      </c>
      <c r="E1170" s="29">
        <v>2024.1</v>
      </c>
      <c r="F1170" s="29">
        <v>1.08</v>
      </c>
    </row>
    <row r="1171" spans="1:6" ht="15" customHeight="1" x14ac:dyDescent="0.2">
      <c r="A1171" s="8" t="s">
        <v>1762</v>
      </c>
      <c r="B1171" s="8" t="s">
        <v>789</v>
      </c>
      <c r="C1171" s="8" t="s">
        <v>765</v>
      </c>
      <c r="D1171" s="29">
        <v>2023</v>
      </c>
      <c r="E1171" s="29">
        <v>2024.5</v>
      </c>
      <c r="F1171" s="29">
        <v>1.5</v>
      </c>
    </row>
    <row r="1172" spans="1:6" ht="15" customHeight="1" x14ac:dyDescent="0.2">
      <c r="A1172" s="8" t="s">
        <v>1763</v>
      </c>
      <c r="B1172" s="8" t="s">
        <v>789</v>
      </c>
      <c r="C1172" s="8" t="s">
        <v>765</v>
      </c>
      <c r="D1172" s="29">
        <v>2023</v>
      </c>
      <c r="E1172" s="29">
        <v>2024.1</v>
      </c>
      <c r="F1172" s="29">
        <v>1.08</v>
      </c>
    </row>
    <row r="1173" spans="1:6" ht="15" customHeight="1" x14ac:dyDescent="0.2">
      <c r="A1173" s="8" t="s">
        <v>1764</v>
      </c>
      <c r="B1173" s="8" t="s">
        <v>789</v>
      </c>
      <c r="C1173" s="8" t="s">
        <v>562</v>
      </c>
      <c r="D1173" s="29">
        <v>2023.2</v>
      </c>
      <c r="E1173" s="29">
        <v>2023.4</v>
      </c>
      <c r="F1173" s="29">
        <v>0.25</v>
      </c>
    </row>
    <row r="1174" spans="1:6" ht="15" customHeight="1" x14ac:dyDescent="0.2">
      <c r="A1174" s="8" t="s">
        <v>1765</v>
      </c>
      <c r="B1174" s="8" t="s">
        <v>789</v>
      </c>
      <c r="C1174" s="8" t="s">
        <v>564</v>
      </c>
      <c r="D1174" s="29">
        <v>2023.4</v>
      </c>
      <c r="E1174" s="29">
        <v>2025.1</v>
      </c>
      <c r="F1174" s="29">
        <v>1.67</v>
      </c>
    </row>
    <row r="1175" spans="1:6" ht="15" customHeight="1" x14ac:dyDescent="0.2">
      <c r="A1175" s="8" t="s">
        <v>1766</v>
      </c>
      <c r="B1175" s="8" t="s">
        <v>789</v>
      </c>
      <c r="C1175" s="8" t="s">
        <v>765</v>
      </c>
      <c r="D1175" s="29">
        <v>2023.3</v>
      </c>
      <c r="E1175" s="29">
        <v>2023.9</v>
      </c>
      <c r="F1175" s="29">
        <v>0.57999999999999996</v>
      </c>
    </row>
    <row r="1176" spans="1:6" ht="15" customHeight="1" x14ac:dyDescent="0.2">
      <c r="A1176" s="8" t="s">
        <v>1767</v>
      </c>
      <c r="B1176" s="8" t="s">
        <v>789</v>
      </c>
      <c r="C1176" s="8" t="s">
        <v>564</v>
      </c>
      <c r="D1176" s="29">
        <v>2024</v>
      </c>
      <c r="E1176" s="29">
        <v>2025</v>
      </c>
      <c r="F1176" s="29">
        <v>1</v>
      </c>
    </row>
    <row r="1177" spans="1:6" ht="15" customHeight="1" x14ac:dyDescent="0.2">
      <c r="A1177" s="8" t="s">
        <v>1768</v>
      </c>
      <c r="B1177" s="8" t="s">
        <v>789</v>
      </c>
      <c r="C1177" s="8" t="s">
        <v>566</v>
      </c>
      <c r="D1177" s="29">
        <v>2021.1</v>
      </c>
      <c r="E1177" s="29">
        <v>2023.8</v>
      </c>
      <c r="F1177" s="29">
        <v>2.67</v>
      </c>
    </row>
    <row r="1178" spans="1:6" ht="15" customHeight="1" x14ac:dyDescent="0.2">
      <c r="A1178" s="8" t="s">
        <v>1769</v>
      </c>
      <c r="B1178" s="8" t="s">
        <v>789</v>
      </c>
      <c r="C1178" s="8" t="s">
        <v>765</v>
      </c>
      <c r="D1178" s="29">
        <v>2021.5</v>
      </c>
      <c r="E1178" s="29">
        <v>2024.5</v>
      </c>
      <c r="F1178" s="29">
        <v>3</v>
      </c>
    </row>
    <row r="1179" spans="1:6" ht="15" customHeight="1" x14ac:dyDescent="0.2">
      <c r="A1179" s="8" t="s">
        <v>1770</v>
      </c>
      <c r="B1179" s="8" t="s">
        <v>789</v>
      </c>
      <c r="C1179" s="8" t="s">
        <v>560</v>
      </c>
      <c r="D1179" s="29">
        <v>2021.8</v>
      </c>
      <c r="E1179" s="29">
        <v>2025.8</v>
      </c>
      <c r="F1179" s="29">
        <v>4.08</v>
      </c>
    </row>
    <row r="1180" spans="1:6" ht="15" customHeight="1" x14ac:dyDescent="0.2">
      <c r="A1180" s="8" t="s">
        <v>1771</v>
      </c>
      <c r="B1180" s="8" t="s">
        <v>789</v>
      </c>
      <c r="C1180" s="8" t="s">
        <v>765</v>
      </c>
      <c r="D1180" s="29">
        <v>2021.8</v>
      </c>
      <c r="E1180" s="29">
        <v>2024.9</v>
      </c>
      <c r="F1180" s="29">
        <v>3.08</v>
      </c>
    </row>
    <row r="1181" spans="1:6" ht="15" customHeight="1" x14ac:dyDescent="0.2">
      <c r="A1181" s="8" t="s">
        <v>1772</v>
      </c>
      <c r="B1181" s="8" t="s">
        <v>789</v>
      </c>
      <c r="C1181" s="8" t="s">
        <v>566</v>
      </c>
      <c r="D1181" s="29">
        <v>2021.8</v>
      </c>
      <c r="E1181" s="29">
        <v>2025.8</v>
      </c>
      <c r="F1181" s="29">
        <v>4</v>
      </c>
    </row>
    <row r="1182" spans="1:6" ht="15" customHeight="1" x14ac:dyDescent="0.2">
      <c r="A1182" s="8" t="s">
        <v>1773</v>
      </c>
      <c r="B1182" s="8" t="s">
        <v>789</v>
      </c>
      <c r="C1182" s="8" t="s">
        <v>765</v>
      </c>
      <c r="D1182" s="29">
        <v>2022.2</v>
      </c>
      <c r="E1182" s="29">
        <v>2024.8</v>
      </c>
      <c r="F1182" s="29">
        <v>2.67</v>
      </c>
    </row>
    <row r="1183" spans="1:6" ht="15" customHeight="1" x14ac:dyDescent="0.2">
      <c r="A1183" s="8" t="s">
        <v>1774</v>
      </c>
      <c r="B1183" s="8" t="s">
        <v>789</v>
      </c>
      <c r="C1183" s="8" t="s">
        <v>765</v>
      </c>
      <c r="D1183" s="29">
        <v>2022.2</v>
      </c>
      <c r="E1183" s="29">
        <v>2024.8</v>
      </c>
      <c r="F1183" s="29">
        <v>2.67</v>
      </c>
    </row>
    <row r="1184" spans="1:6" ht="15" customHeight="1" x14ac:dyDescent="0.2">
      <c r="A1184" s="8" t="s">
        <v>1775</v>
      </c>
      <c r="B1184" s="8" t="s">
        <v>789</v>
      </c>
      <c r="C1184" s="8" t="s">
        <v>564</v>
      </c>
      <c r="D1184" s="29">
        <v>2022.2</v>
      </c>
      <c r="E1184" s="29">
        <v>2025.9</v>
      </c>
      <c r="F1184" s="29">
        <v>3.75</v>
      </c>
    </row>
    <row r="1185" spans="1:6" ht="15" customHeight="1" x14ac:dyDescent="0.2">
      <c r="A1185" s="8" t="s">
        <v>1776</v>
      </c>
      <c r="B1185" s="8" t="s">
        <v>789</v>
      </c>
      <c r="C1185" s="8" t="s">
        <v>765</v>
      </c>
      <c r="D1185" s="29">
        <v>2022.2</v>
      </c>
      <c r="E1185" s="29">
        <v>2024.9</v>
      </c>
      <c r="F1185" s="29">
        <v>2.67</v>
      </c>
    </row>
    <row r="1186" spans="1:6" ht="15" customHeight="1" x14ac:dyDescent="0.2">
      <c r="A1186" s="8" t="s">
        <v>1777</v>
      </c>
      <c r="B1186" s="8" t="s">
        <v>789</v>
      </c>
      <c r="C1186" s="8" t="s">
        <v>564</v>
      </c>
      <c r="D1186" s="29">
        <v>2022.2</v>
      </c>
      <c r="E1186" s="29">
        <v>2025.9</v>
      </c>
      <c r="F1186" s="29">
        <v>3.67</v>
      </c>
    </row>
    <row r="1187" spans="1:6" ht="15" customHeight="1" x14ac:dyDescent="0.2">
      <c r="A1187" s="8" t="s">
        <v>1778</v>
      </c>
      <c r="B1187" s="8" t="s">
        <v>789</v>
      </c>
      <c r="C1187" s="8" t="s">
        <v>564</v>
      </c>
      <c r="D1187" s="29">
        <v>2022.4</v>
      </c>
      <c r="E1187" s="29">
        <v>2025.9</v>
      </c>
      <c r="F1187" s="29">
        <v>3.5</v>
      </c>
    </row>
    <row r="1188" spans="1:6" ht="15" customHeight="1" x14ac:dyDescent="0.2">
      <c r="A1188" s="8" t="s">
        <v>1779</v>
      </c>
      <c r="B1188" s="8" t="s">
        <v>789</v>
      </c>
      <c r="C1188" s="8" t="s">
        <v>566</v>
      </c>
      <c r="D1188" s="29">
        <v>2022.8</v>
      </c>
      <c r="E1188" s="29">
        <v>2025</v>
      </c>
      <c r="F1188" s="29">
        <v>2.17</v>
      </c>
    </row>
    <row r="1189" spans="1:6" ht="15" customHeight="1" x14ac:dyDescent="0.2">
      <c r="A1189" s="8" t="s">
        <v>1780</v>
      </c>
      <c r="B1189" s="8" t="s">
        <v>789</v>
      </c>
      <c r="C1189" s="8" t="s">
        <v>564</v>
      </c>
      <c r="D1189" s="29">
        <v>2023.2</v>
      </c>
      <c r="E1189" s="29">
        <v>2025</v>
      </c>
      <c r="F1189" s="29">
        <v>1.83</v>
      </c>
    </row>
    <row r="1190" spans="1:6" ht="15" customHeight="1" x14ac:dyDescent="0.2">
      <c r="A1190" s="8" t="s">
        <v>1781</v>
      </c>
      <c r="B1190" s="8" t="s">
        <v>789</v>
      </c>
      <c r="C1190" s="8" t="s">
        <v>566</v>
      </c>
      <c r="D1190" s="29">
        <v>2023.3</v>
      </c>
      <c r="E1190" s="29">
        <v>2025.2</v>
      </c>
      <c r="F1190" s="29">
        <v>1.92</v>
      </c>
    </row>
    <row r="1191" spans="1:6" ht="15" customHeight="1" x14ac:dyDescent="0.2">
      <c r="A1191" s="8" t="s">
        <v>1782</v>
      </c>
      <c r="B1191" s="8" t="s">
        <v>789</v>
      </c>
      <c r="C1191" s="8" t="s">
        <v>765</v>
      </c>
      <c r="D1191" s="29">
        <v>2023.4</v>
      </c>
      <c r="E1191" s="29">
        <v>2024.1</v>
      </c>
      <c r="F1191" s="29">
        <v>0.67</v>
      </c>
    </row>
    <row r="1192" spans="1:6" ht="15" customHeight="1" x14ac:dyDescent="0.2">
      <c r="A1192" s="8" t="s">
        <v>1783</v>
      </c>
      <c r="B1192" s="8" t="s">
        <v>789</v>
      </c>
      <c r="C1192" s="8" t="s">
        <v>765</v>
      </c>
      <c r="D1192" s="29">
        <v>2023.4</v>
      </c>
      <c r="E1192" s="29">
        <v>2024.1</v>
      </c>
      <c r="F1192" s="29">
        <v>0.67</v>
      </c>
    </row>
    <row r="1193" spans="1:6" ht="15" customHeight="1" x14ac:dyDescent="0.2">
      <c r="A1193" s="8" t="s">
        <v>1784</v>
      </c>
      <c r="B1193" s="8" t="s">
        <v>789</v>
      </c>
      <c r="C1193" s="8" t="s">
        <v>765</v>
      </c>
      <c r="D1193" s="29">
        <v>2023.4</v>
      </c>
      <c r="E1193" s="29">
        <v>2024.1</v>
      </c>
      <c r="F1193" s="29">
        <v>0.67</v>
      </c>
    </row>
    <row r="1194" spans="1:6" ht="15" customHeight="1" x14ac:dyDescent="0.2">
      <c r="A1194" s="8" t="s">
        <v>1785</v>
      </c>
      <c r="B1194" s="8" t="s">
        <v>789</v>
      </c>
      <c r="C1194" s="8" t="s">
        <v>765</v>
      </c>
      <c r="D1194" s="29">
        <v>2023.4</v>
      </c>
      <c r="E1194" s="29">
        <v>2024.3</v>
      </c>
      <c r="F1194" s="29">
        <v>0.92</v>
      </c>
    </row>
    <row r="1195" spans="1:6" ht="15" customHeight="1" x14ac:dyDescent="0.2">
      <c r="A1195" s="8" t="s">
        <v>1786</v>
      </c>
      <c r="B1195" s="8" t="s">
        <v>789</v>
      </c>
      <c r="C1195" s="8" t="s">
        <v>564</v>
      </c>
      <c r="D1195" s="29">
        <v>2023.4</v>
      </c>
      <c r="E1195" s="29">
        <v>2025.5</v>
      </c>
      <c r="F1195" s="29">
        <v>2.08</v>
      </c>
    </row>
    <row r="1196" spans="1:6" ht="15" customHeight="1" x14ac:dyDescent="0.2">
      <c r="A1196" s="8" t="s">
        <v>1787</v>
      </c>
      <c r="B1196" s="8" t="s">
        <v>789</v>
      </c>
      <c r="C1196" s="8" t="s">
        <v>564</v>
      </c>
      <c r="D1196" s="29">
        <v>2023.4</v>
      </c>
      <c r="E1196" s="29">
        <v>2025.1</v>
      </c>
      <c r="F1196" s="29">
        <v>1.67</v>
      </c>
    </row>
    <row r="1197" spans="1:6" ht="15" customHeight="1" x14ac:dyDescent="0.2">
      <c r="A1197" s="8" t="s">
        <v>1788</v>
      </c>
      <c r="B1197" s="8" t="s">
        <v>789</v>
      </c>
      <c r="C1197" s="8" t="s">
        <v>564</v>
      </c>
      <c r="D1197" s="29">
        <v>2023.6</v>
      </c>
      <c r="E1197" s="29">
        <v>2025.2</v>
      </c>
      <c r="F1197" s="29">
        <v>1.67</v>
      </c>
    </row>
    <row r="1198" spans="1:6" ht="15" customHeight="1" x14ac:dyDescent="0.2">
      <c r="A1198" s="8" t="s">
        <v>1789</v>
      </c>
      <c r="B1198" s="8" t="s">
        <v>789</v>
      </c>
      <c r="C1198" s="8" t="s">
        <v>765</v>
      </c>
      <c r="D1198" s="29">
        <v>2023.6</v>
      </c>
      <c r="E1198" s="29">
        <v>2024.9</v>
      </c>
      <c r="F1198" s="29">
        <v>1.33</v>
      </c>
    </row>
    <row r="1199" spans="1:6" ht="15" customHeight="1" x14ac:dyDescent="0.2">
      <c r="A1199" s="8" t="s">
        <v>1790</v>
      </c>
      <c r="B1199" s="8" t="s">
        <v>789</v>
      </c>
      <c r="C1199" s="8" t="s">
        <v>765</v>
      </c>
      <c r="D1199" s="29">
        <v>2023.6</v>
      </c>
      <c r="E1199" s="29">
        <v>2024.9</v>
      </c>
      <c r="F1199" s="29">
        <v>1.33</v>
      </c>
    </row>
    <row r="1200" spans="1:6" ht="15" customHeight="1" x14ac:dyDescent="0.2">
      <c r="A1200" s="8" t="s">
        <v>1791</v>
      </c>
      <c r="B1200" s="8" t="s">
        <v>789</v>
      </c>
      <c r="C1200" s="8" t="s">
        <v>765</v>
      </c>
      <c r="D1200" s="29">
        <v>2023.6</v>
      </c>
      <c r="E1200" s="29">
        <v>2024.3</v>
      </c>
      <c r="F1200" s="29">
        <v>0.75</v>
      </c>
    </row>
    <row r="1201" spans="1:6" ht="15" customHeight="1" x14ac:dyDescent="0.2">
      <c r="A1201" s="8" t="s">
        <v>1792</v>
      </c>
      <c r="B1201" s="8" t="s">
        <v>789</v>
      </c>
      <c r="C1201" s="8" t="s">
        <v>765</v>
      </c>
      <c r="D1201" s="29">
        <v>2023.6</v>
      </c>
      <c r="E1201" s="29">
        <v>2024.4</v>
      </c>
      <c r="F1201" s="29">
        <v>0.83</v>
      </c>
    </row>
    <row r="1202" spans="1:6" ht="15" customHeight="1" x14ac:dyDescent="0.2">
      <c r="A1202" s="8" t="s">
        <v>1793</v>
      </c>
      <c r="B1202" s="8" t="s">
        <v>789</v>
      </c>
      <c r="C1202" s="8" t="s">
        <v>564</v>
      </c>
      <c r="D1202" s="29">
        <v>2021.1</v>
      </c>
      <c r="E1202" s="29">
        <v>2025</v>
      </c>
      <c r="F1202" s="29">
        <v>3.92</v>
      </c>
    </row>
    <row r="1203" spans="1:6" ht="15" customHeight="1" x14ac:dyDescent="0.2">
      <c r="A1203" s="8" t="s">
        <v>1794</v>
      </c>
      <c r="B1203" s="8" t="s">
        <v>789</v>
      </c>
      <c r="C1203" s="8" t="s">
        <v>765</v>
      </c>
      <c r="D1203" s="29">
        <v>2024.2</v>
      </c>
      <c r="E1203" s="29">
        <v>2024.9</v>
      </c>
      <c r="F1203" s="29">
        <v>0.75</v>
      </c>
    </row>
    <row r="1204" spans="1:6" ht="15" customHeight="1" x14ac:dyDescent="0.2">
      <c r="A1204" s="8" t="s">
        <v>1795</v>
      </c>
      <c r="B1204" s="8" t="s">
        <v>789</v>
      </c>
      <c r="C1204" s="8" t="s">
        <v>564</v>
      </c>
      <c r="D1204" s="29">
        <v>2024</v>
      </c>
      <c r="E1204" s="29">
        <v>2025.5</v>
      </c>
      <c r="F1204" s="29">
        <v>1.5</v>
      </c>
    </row>
    <row r="1205" spans="1:6" ht="15" customHeight="1" x14ac:dyDescent="0.2">
      <c r="A1205" s="8" t="s">
        <v>1796</v>
      </c>
      <c r="B1205" s="8" t="s">
        <v>789</v>
      </c>
      <c r="C1205" s="8" t="s">
        <v>564</v>
      </c>
      <c r="D1205" s="29">
        <v>2024.3</v>
      </c>
      <c r="E1205" s="29">
        <v>2025.1</v>
      </c>
      <c r="F1205" s="29">
        <v>0.75</v>
      </c>
    </row>
    <row r="1206" spans="1:6" ht="15" customHeight="1" x14ac:dyDescent="0.2">
      <c r="A1206" s="8" t="s">
        <v>1797</v>
      </c>
      <c r="B1206" s="8" t="s">
        <v>789</v>
      </c>
      <c r="C1206" s="8" t="s">
        <v>765</v>
      </c>
      <c r="D1206" s="29">
        <v>2023</v>
      </c>
      <c r="E1206" s="29">
        <v>2024.6</v>
      </c>
      <c r="F1206" s="29">
        <v>1.58</v>
      </c>
    </row>
    <row r="1207" spans="1:6" ht="15" customHeight="1" x14ac:dyDescent="0.2">
      <c r="A1207" s="8" t="s">
        <v>1798</v>
      </c>
      <c r="B1207" s="8" t="s">
        <v>789</v>
      </c>
      <c r="C1207" s="8" t="s">
        <v>765</v>
      </c>
      <c r="D1207" s="29">
        <v>2024.2</v>
      </c>
      <c r="E1207" s="29">
        <v>2024.9</v>
      </c>
      <c r="F1207" s="29">
        <v>0.75</v>
      </c>
    </row>
    <row r="1208" spans="1:6" ht="15" customHeight="1" x14ac:dyDescent="0.2">
      <c r="A1208" s="8" t="s">
        <v>1799</v>
      </c>
      <c r="B1208" s="8" t="s">
        <v>789</v>
      </c>
      <c r="C1208" s="8" t="s">
        <v>765</v>
      </c>
      <c r="D1208" s="29">
        <v>2022.4</v>
      </c>
      <c r="E1208" s="29">
        <v>2024.8</v>
      </c>
      <c r="F1208" s="29">
        <v>2.42</v>
      </c>
    </row>
    <row r="1209" spans="1:6" ht="15" customHeight="1" x14ac:dyDescent="0.2">
      <c r="A1209" s="8" t="s">
        <v>1800</v>
      </c>
      <c r="B1209" s="8" t="s">
        <v>789</v>
      </c>
      <c r="C1209" s="8" t="s">
        <v>1252</v>
      </c>
      <c r="D1209" s="29">
        <v>2025.4</v>
      </c>
      <c r="E1209" s="29">
        <v>2025.8</v>
      </c>
      <c r="F1209" s="29">
        <v>0.42</v>
      </c>
    </row>
    <row r="1210" spans="1:6" ht="15" customHeight="1" x14ac:dyDescent="0.2">
      <c r="A1210" s="8" t="s">
        <v>1801</v>
      </c>
      <c r="B1210" s="8" t="s">
        <v>789</v>
      </c>
      <c r="C1210" s="8" t="s">
        <v>1252</v>
      </c>
      <c r="D1210" s="29">
        <v>2025.4</v>
      </c>
      <c r="E1210" s="29">
        <v>2025.8</v>
      </c>
      <c r="F1210" s="29">
        <v>0.42</v>
      </c>
    </row>
    <row r="1211" spans="1:6" ht="15" customHeight="1" x14ac:dyDescent="0.2">
      <c r="A1211" s="8" t="s">
        <v>1802</v>
      </c>
      <c r="B1211" s="8"/>
      <c r="C1211" s="8" t="s">
        <v>564</v>
      </c>
      <c r="D1211" s="29">
        <v>2021.1</v>
      </c>
      <c r="E1211" s="29">
        <v>2025.6</v>
      </c>
      <c r="F1211" s="29">
        <v>4.5</v>
      </c>
    </row>
    <row r="1212" spans="1:6" ht="15" customHeight="1" x14ac:dyDescent="0.2">
      <c r="A1212" s="8" t="s">
        <v>1803</v>
      </c>
      <c r="B1212" s="8"/>
      <c r="C1212" s="8" t="s">
        <v>564</v>
      </c>
      <c r="D1212" s="29">
        <v>2021.5</v>
      </c>
      <c r="E1212" s="29">
        <v>2025.8</v>
      </c>
      <c r="F1212" s="29">
        <v>4.25</v>
      </c>
    </row>
    <row r="1213" spans="1:6" ht="15" customHeight="1" x14ac:dyDescent="0.2">
      <c r="A1213" s="8" t="s">
        <v>1804</v>
      </c>
      <c r="B1213" s="8"/>
      <c r="C1213" s="8" t="s">
        <v>761</v>
      </c>
      <c r="D1213" s="29">
        <v>2019.9</v>
      </c>
      <c r="E1213" s="29">
        <v>2025.6</v>
      </c>
      <c r="F1213" s="29">
        <v>5.67</v>
      </c>
    </row>
    <row r="1214" spans="1:6" ht="15" customHeight="1" x14ac:dyDescent="0.2">
      <c r="A1214" s="8" t="s">
        <v>1805</v>
      </c>
      <c r="B1214" s="8"/>
      <c r="C1214" s="8" t="s">
        <v>564</v>
      </c>
      <c r="D1214" s="29">
        <v>2021.3</v>
      </c>
      <c r="E1214" s="29">
        <v>2025.7</v>
      </c>
      <c r="F1214" s="29">
        <v>4.33</v>
      </c>
    </row>
    <row r="1215" spans="1:6" ht="15" customHeight="1" x14ac:dyDescent="0.2">
      <c r="A1215" s="8" t="s">
        <v>1806</v>
      </c>
      <c r="B1215" s="8"/>
      <c r="C1215" s="8" t="s">
        <v>564</v>
      </c>
      <c r="D1215" s="29">
        <v>2023.4</v>
      </c>
      <c r="E1215" s="29">
        <v>2025.2</v>
      </c>
      <c r="F1215" s="29">
        <v>1.75</v>
      </c>
    </row>
    <row r="1216" spans="1:6" ht="15" customHeight="1" x14ac:dyDescent="0.2">
      <c r="A1216" s="8" t="s">
        <v>1807</v>
      </c>
      <c r="B1216" s="8"/>
      <c r="C1216" s="8" t="s">
        <v>564</v>
      </c>
      <c r="D1216" s="29">
        <v>2023</v>
      </c>
      <c r="E1216" s="29">
        <v>2025.7</v>
      </c>
      <c r="F1216" s="29">
        <v>2.67</v>
      </c>
    </row>
    <row r="1217" spans="1:6" ht="15" customHeight="1" x14ac:dyDescent="0.2">
      <c r="A1217" s="8" t="s">
        <v>1808</v>
      </c>
      <c r="B1217" s="8"/>
      <c r="C1217" s="8" t="s">
        <v>564</v>
      </c>
      <c r="D1217" s="29">
        <v>2023.4</v>
      </c>
      <c r="E1217" s="29">
        <v>2025.6</v>
      </c>
      <c r="F1217" s="29">
        <v>2.17</v>
      </c>
    </row>
    <row r="1218" spans="1:6" ht="15" customHeight="1" x14ac:dyDescent="0.2">
      <c r="A1218" s="8" t="s">
        <v>1809</v>
      </c>
      <c r="B1218" s="8"/>
      <c r="C1218" s="8" t="s">
        <v>562</v>
      </c>
      <c r="D1218" s="29">
        <v>2022.7</v>
      </c>
      <c r="E1218" s="29">
        <v>2025.6</v>
      </c>
      <c r="F1218" s="29">
        <v>2.92</v>
      </c>
    </row>
    <row r="1219" spans="1:6" ht="15" customHeight="1" x14ac:dyDescent="0.2">
      <c r="A1219" s="8" t="s">
        <v>1810</v>
      </c>
      <c r="B1219" s="8"/>
      <c r="C1219" s="8" t="s">
        <v>564</v>
      </c>
      <c r="D1219" s="29">
        <v>2023.4</v>
      </c>
      <c r="E1219" s="29">
        <v>2025.6</v>
      </c>
      <c r="F1219" s="29">
        <v>2.17</v>
      </c>
    </row>
    <row r="1220" spans="1:6" ht="15" customHeight="1" x14ac:dyDescent="0.2">
      <c r="A1220" s="8" t="s">
        <v>1811</v>
      </c>
      <c r="B1220" s="8"/>
      <c r="C1220" s="8" t="s">
        <v>765</v>
      </c>
      <c r="D1220" s="29">
        <v>2025.4</v>
      </c>
      <c r="E1220" s="29">
        <v>2025.8</v>
      </c>
      <c r="F1220" s="29">
        <v>0.33</v>
      </c>
    </row>
    <row r="1221" spans="1:6" ht="15" customHeight="1" x14ac:dyDescent="0.2">
      <c r="A1221" s="8" t="s">
        <v>1812</v>
      </c>
      <c r="B1221" s="8"/>
      <c r="C1221" s="8" t="s">
        <v>765</v>
      </c>
      <c r="D1221" s="29">
        <v>2025.4</v>
      </c>
      <c r="E1221" s="29">
        <v>2025.7</v>
      </c>
      <c r="F1221" s="29">
        <v>0.25</v>
      </c>
    </row>
    <row r="1222" spans="1:6" ht="15" customHeight="1" x14ac:dyDescent="0.2">
      <c r="A1222" s="8" t="s">
        <v>1813</v>
      </c>
      <c r="B1222" s="8"/>
      <c r="C1222" s="8" t="s">
        <v>765</v>
      </c>
      <c r="D1222" s="29">
        <v>2025.4</v>
      </c>
      <c r="E1222" s="29">
        <v>2025.7</v>
      </c>
      <c r="F1222" s="29">
        <v>0.25</v>
      </c>
    </row>
    <row r="1223" spans="1:6" ht="15" customHeight="1" x14ac:dyDescent="0.2">
      <c r="A1223" s="8" t="s">
        <v>1814</v>
      </c>
      <c r="B1223" s="8"/>
      <c r="C1223" s="8" t="s">
        <v>765</v>
      </c>
      <c r="D1223" s="29">
        <v>2025.4</v>
      </c>
      <c r="E1223" s="29">
        <v>2025.8</v>
      </c>
      <c r="F1223" s="29">
        <v>0.33</v>
      </c>
    </row>
    <row r="1224" spans="1:6" ht="15" customHeight="1" x14ac:dyDescent="0.2">
      <c r="A1224" s="8" t="s">
        <v>1815</v>
      </c>
      <c r="B1224" s="8"/>
      <c r="C1224" s="8" t="s">
        <v>765</v>
      </c>
      <c r="D1224" s="29">
        <v>2025.4</v>
      </c>
      <c r="E1224" s="29">
        <v>2025.8</v>
      </c>
      <c r="F1224" s="29">
        <v>0.33</v>
      </c>
    </row>
    <row r="1225" spans="1:6" ht="15" customHeight="1" x14ac:dyDescent="0.2">
      <c r="A1225" s="8" t="s">
        <v>1816</v>
      </c>
      <c r="B1225" s="8"/>
      <c r="C1225" s="8" t="s">
        <v>765</v>
      </c>
      <c r="D1225" s="29">
        <v>2025.4</v>
      </c>
      <c r="E1225" s="29">
        <v>2025.8</v>
      </c>
      <c r="F1225" s="29">
        <v>0.33</v>
      </c>
    </row>
    <row r="1226" spans="1:6" ht="15" customHeight="1" x14ac:dyDescent="0.2">
      <c r="A1226" s="8" t="s">
        <v>1817</v>
      </c>
      <c r="B1226" s="8"/>
      <c r="C1226" s="8" t="s">
        <v>765</v>
      </c>
      <c r="D1226" s="29">
        <v>2025.4</v>
      </c>
      <c r="E1226" s="29">
        <v>2025.7</v>
      </c>
      <c r="F1226" s="29">
        <v>0.25</v>
      </c>
    </row>
    <row r="1227" spans="1:6" ht="15" customHeight="1" x14ac:dyDescent="0.2">
      <c r="A1227" s="8" t="s">
        <v>1818</v>
      </c>
      <c r="B1227" s="8"/>
      <c r="C1227" s="8" t="s">
        <v>566</v>
      </c>
      <c r="D1227" s="29">
        <v>2018.2</v>
      </c>
      <c r="E1227" s="29">
        <v>2019.9</v>
      </c>
      <c r="F1227" s="29">
        <v>1.67</v>
      </c>
    </row>
    <row r="1228" spans="1:6" ht="15" customHeight="1" x14ac:dyDescent="0.2">
      <c r="A1228" s="8" t="s">
        <v>1819</v>
      </c>
      <c r="B1228" s="8"/>
      <c r="C1228" s="8" t="s">
        <v>562</v>
      </c>
      <c r="D1228" s="29">
        <v>2020.5</v>
      </c>
      <c r="E1228" s="29">
        <v>2023.4</v>
      </c>
      <c r="F1228" s="29">
        <v>2.92</v>
      </c>
    </row>
    <row r="1229" spans="1:6" ht="15" customHeight="1" x14ac:dyDescent="0.2">
      <c r="A1229" s="8" t="s">
        <v>1820</v>
      </c>
      <c r="B1229" s="8"/>
      <c r="C1229" s="8" t="s">
        <v>566</v>
      </c>
      <c r="D1229" s="29">
        <v>2015.1</v>
      </c>
      <c r="E1229" s="29">
        <v>2020.2</v>
      </c>
      <c r="F1229" s="29">
        <v>5.17</v>
      </c>
    </row>
    <row r="1230" spans="1:6" ht="15" customHeight="1" x14ac:dyDescent="0.2">
      <c r="A1230" s="8" t="s">
        <v>1821</v>
      </c>
      <c r="B1230" s="8"/>
      <c r="C1230" s="8" t="s">
        <v>657</v>
      </c>
      <c r="D1230" s="29">
        <v>2016</v>
      </c>
      <c r="E1230" s="29">
        <v>2020.8</v>
      </c>
      <c r="F1230" s="29">
        <v>4.75</v>
      </c>
    </row>
    <row r="1231" spans="1:6" ht="15" customHeight="1" x14ac:dyDescent="0.2">
      <c r="A1231" s="8" t="s">
        <v>1822</v>
      </c>
      <c r="B1231" s="8"/>
      <c r="C1231" s="8" t="s">
        <v>566</v>
      </c>
      <c r="D1231" s="29">
        <v>2016.2</v>
      </c>
      <c r="E1231" s="29">
        <v>2020</v>
      </c>
      <c r="F1231" s="29">
        <v>3.75</v>
      </c>
    </row>
    <row r="1232" spans="1:6" ht="15" customHeight="1" x14ac:dyDescent="0.2">
      <c r="A1232" s="8" t="s">
        <v>1823</v>
      </c>
      <c r="B1232" s="8"/>
      <c r="C1232" s="8" t="s">
        <v>566</v>
      </c>
      <c r="D1232" s="29">
        <v>2016.2</v>
      </c>
      <c r="E1232" s="29">
        <v>2020</v>
      </c>
      <c r="F1232" s="29">
        <v>3.75</v>
      </c>
    </row>
    <row r="1233" spans="1:6" ht="15" customHeight="1" x14ac:dyDescent="0.2">
      <c r="A1233" s="8" t="s">
        <v>1824</v>
      </c>
      <c r="B1233" s="8"/>
      <c r="C1233" s="8" t="s">
        <v>566</v>
      </c>
      <c r="D1233" s="29">
        <v>2016.6</v>
      </c>
      <c r="E1233" s="29">
        <v>2020</v>
      </c>
      <c r="F1233" s="29">
        <v>3.42</v>
      </c>
    </row>
    <row r="1234" spans="1:6" ht="15" customHeight="1" x14ac:dyDescent="0.2">
      <c r="A1234" s="8" t="s">
        <v>1825</v>
      </c>
      <c r="B1234" s="8"/>
      <c r="C1234" s="8" t="s">
        <v>566</v>
      </c>
      <c r="D1234" s="29">
        <v>2016.7</v>
      </c>
      <c r="E1234" s="29">
        <v>2020</v>
      </c>
      <c r="F1234" s="29">
        <v>3.33</v>
      </c>
    </row>
    <row r="1235" spans="1:6" ht="15" customHeight="1" x14ac:dyDescent="0.2">
      <c r="A1235" s="8" t="s">
        <v>1826</v>
      </c>
      <c r="B1235" s="8"/>
      <c r="C1235" s="8" t="s">
        <v>566</v>
      </c>
      <c r="D1235" s="29">
        <v>2016.7</v>
      </c>
      <c r="E1235" s="29">
        <v>2020.2</v>
      </c>
      <c r="F1235" s="29">
        <v>3.58</v>
      </c>
    </row>
    <row r="1236" spans="1:6" ht="15" customHeight="1" x14ac:dyDescent="0.2">
      <c r="A1236" s="8" t="s">
        <v>1827</v>
      </c>
      <c r="B1236" s="8"/>
      <c r="C1236" s="8" t="s">
        <v>566</v>
      </c>
      <c r="D1236" s="29">
        <v>2017.4</v>
      </c>
      <c r="E1236" s="29">
        <v>2020</v>
      </c>
      <c r="F1236" s="29">
        <v>2.58</v>
      </c>
    </row>
    <row r="1237" spans="1:6" ht="15" customHeight="1" x14ac:dyDescent="0.2">
      <c r="A1237" s="8" t="s">
        <v>1828</v>
      </c>
      <c r="B1237" s="8"/>
      <c r="C1237" s="8" t="s">
        <v>566</v>
      </c>
      <c r="D1237" s="29">
        <v>2017.4</v>
      </c>
      <c r="E1237" s="29">
        <v>2020.2</v>
      </c>
      <c r="F1237" s="29">
        <v>2.83</v>
      </c>
    </row>
    <row r="1238" spans="1:6" ht="15" customHeight="1" x14ac:dyDescent="0.2">
      <c r="A1238" s="8" t="s">
        <v>1829</v>
      </c>
      <c r="B1238" s="8"/>
      <c r="C1238" s="8" t="s">
        <v>566</v>
      </c>
      <c r="D1238" s="29">
        <v>2017.4</v>
      </c>
      <c r="E1238" s="29">
        <v>2020</v>
      </c>
      <c r="F1238" s="29">
        <v>2.58</v>
      </c>
    </row>
    <row r="1239" spans="1:6" ht="15" customHeight="1" x14ac:dyDescent="0.2">
      <c r="A1239" s="8" t="s">
        <v>1830</v>
      </c>
      <c r="B1239" s="8"/>
      <c r="C1239" s="8" t="s">
        <v>566</v>
      </c>
      <c r="D1239" s="29">
        <v>2017.4</v>
      </c>
      <c r="E1239" s="29">
        <v>2020.2</v>
      </c>
      <c r="F1239" s="29">
        <v>2.83</v>
      </c>
    </row>
    <row r="1240" spans="1:6" ht="15" customHeight="1" x14ac:dyDescent="0.2">
      <c r="A1240" s="8" t="s">
        <v>1831</v>
      </c>
      <c r="B1240" s="8"/>
      <c r="C1240" s="8" t="s">
        <v>566</v>
      </c>
      <c r="D1240" s="29">
        <v>2017.4</v>
      </c>
      <c r="E1240" s="29">
        <v>2020</v>
      </c>
      <c r="F1240" s="29">
        <v>2.58</v>
      </c>
    </row>
    <row r="1241" spans="1:6" ht="15" customHeight="1" x14ac:dyDescent="0.2">
      <c r="A1241" s="8" t="s">
        <v>1832</v>
      </c>
      <c r="B1241" s="8"/>
      <c r="C1241" s="8" t="s">
        <v>564</v>
      </c>
      <c r="D1241" s="29">
        <v>2019.8</v>
      </c>
      <c r="E1241" s="29">
        <v>2020.5</v>
      </c>
      <c r="F1241" s="29">
        <v>0.75</v>
      </c>
    </row>
    <row r="1242" spans="1:6" ht="15" customHeight="1" x14ac:dyDescent="0.2">
      <c r="A1242" s="8" t="s">
        <v>1833</v>
      </c>
      <c r="B1242" s="8" t="s">
        <v>923</v>
      </c>
      <c r="C1242" s="8" t="s">
        <v>560</v>
      </c>
      <c r="D1242" s="29">
        <v>2015.4</v>
      </c>
      <c r="E1242" s="29">
        <v>2023.8</v>
      </c>
      <c r="F1242" s="29">
        <v>8.33</v>
      </c>
    </row>
    <row r="1243" spans="1:6" ht="15" customHeight="1" x14ac:dyDescent="0.2">
      <c r="A1243" s="8" t="s">
        <v>1834</v>
      </c>
      <c r="B1243" s="8"/>
      <c r="C1243" s="8" t="s">
        <v>657</v>
      </c>
      <c r="D1243" s="29">
        <v>2010.2</v>
      </c>
      <c r="E1243" s="29">
        <v>2024.2</v>
      </c>
      <c r="F1243" s="29">
        <v>14.08</v>
      </c>
    </row>
    <row r="1244" spans="1:6" ht="15" customHeight="1" x14ac:dyDescent="0.2">
      <c r="A1244" s="8" t="s">
        <v>157</v>
      </c>
      <c r="B1244" s="8"/>
      <c r="C1244" s="8" t="s">
        <v>566</v>
      </c>
      <c r="D1244" s="29">
        <v>2016.6</v>
      </c>
      <c r="E1244" s="29">
        <v>2020.1</v>
      </c>
      <c r="F1244" s="29">
        <v>3.5</v>
      </c>
    </row>
    <row r="1245" spans="1:6" ht="15" customHeight="1" x14ac:dyDescent="0.2">
      <c r="A1245" s="8" t="s">
        <v>1835</v>
      </c>
      <c r="B1245" s="8"/>
      <c r="C1245" s="8" t="s">
        <v>564</v>
      </c>
      <c r="D1245" s="29">
        <v>2019.6</v>
      </c>
      <c r="E1245" s="29">
        <v>2021.9</v>
      </c>
      <c r="F1245" s="29">
        <v>2.33</v>
      </c>
    </row>
    <row r="1246" spans="1:6" ht="15" customHeight="1" x14ac:dyDescent="0.2">
      <c r="A1246" s="8" t="s">
        <v>1836</v>
      </c>
      <c r="B1246" s="8"/>
      <c r="C1246" s="8" t="s">
        <v>566</v>
      </c>
      <c r="D1246" s="29">
        <v>2021.4</v>
      </c>
      <c r="E1246" s="29">
        <v>2022.9</v>
      </c>
      <c r="F1246" s="29">
        <v>1.5</v>
      </c>
    </row>
    <row r="1247" spans="1:6" ht="15" customHeight="1" x14ac:dyDescent="0.2">
      <c r="A1247" s="8" t="s">
        <v>1837</v>
      </c>
      <c r="B1247" s="8"/>
      <c r="C1247" s="8" t="s">
        <v>562</v>
      </c>
      <c r="D1247" s="29">
        <v>2017.2</v>
      </c>
      <c r="E1247" s="29">
        <v>2020.9</v>
      </c>
      <c r="F1247" s="29">
        <v>3.75</v>
      </c>
    </row>
    <row r="1248" spans="1:6" ht="15" customHeight="1" x14ac:dyDescent="0.2">
      <c r="A1248" s="8" t="s">
        <v>1838</v>
      </c>
      <c r="B1248" s="8"/>
      <c r="C1248" s="8" t="s">
        <v>566</v>
      </c>
      <c r="D1248" s="29">
        <v>2016.8</v>
      </c>
      <c r="E1248" s="29">
        <v>2020.9</v>
      </c>
      <c r="F1248" s="29">
        <v>4.08</v>
      </c>
    </row>
    <row r="1249" spans="1:6" ht="15" customHeight="1" x14ac:dyDescent="0.2">
      <c r="A1249" s="8" t="s">
        <v>1839</v>
      </c>
      <c r="B1249" s="8"/>
      <c r="C1249" s="8" t="s">
        <v>566</v>
      </c>
      <c r="D1249" s="29">
        <v>2016.8</v>
      </c>
      <c r="E1249" s="29">
        <v>2020.8</v>
      </c>
      <c r="F1249" s="29">
        <v>4</v>
      </c>
    </row>
    <row r="1250" spans="1:6" ht="15" customHeight="1" x14ac:dyDescent="0.2">
      <c r="A1250" s="8" t="s">
        <v>625</v>
      </c>
      <c r="B1250" s="8"/>
      <c r="C1250" s="8" t="s">
        <v>562</v>
      </c>
      <c r="D1250" s="29">
        <v>2014.5</v>
      </c>
      <c r="E1250" s="29">
        <v>2019.4</v>
      </c>
      <c r="F1250" s="29">
        <v>4.92</v>
      </c>
    </row>
    <row r="1251" spans="1:6" ht="15" customHeight="1" x14ac:dyDescent="0.2">
      <c r="A1251" s="8" t="s">
        <v>1840</v>
      </c>
      <c r="B1251" s="8"/>
      <c r="C1251" s="8" t="s">
        <v>562</v>
      </c>
      <c r="D1251" s="29">
        <v>2015.1</v>
      </c>
      <c r="E1251" s="29">
        <v>2019.4</v>
      </c>
      <c r="F1251" s="29">
        <v>4.33</v>
      </c>
    </row>
    <row r="1252" spans="1:6" ht="15" customHeight="1" x14ac:dyDescent="0.2">
      <c r="A1252" s="8" t="s">
        <v>1841</v>
      </c>
      <c r="B1252" s="8"/>
      <c r="C1252" s="8" t="s">
        <v>566</v>
      </c>
      <c r="D1252" s="29">
        <v>2016.2</v>
      </c>
      <c r="E1252" s="29">
        <v>2019</v>
      </c>
      <c r="F1252" s="29">
        <v>2.75</v>
      </c>
    </row>
    <row r="1253" spans="1:6" ht="15" customHeight="1" x14ac:dyDescent="0.2">
      <c r="A1253" s="8" t="s">
        <v>1842</v>
      </c>
      <c r="B1253" s="8"/>
      <c r="C1253" s="8" t="s">
        <v>566</v>
      </c>
      <c r="D1253" s="29">
        <v>2016.2</v>
      </c>
      <c r="E1253" s="29">
        <v>2019</v>
      </c>
      <c r="F1253" s="29">
        <v>2.75</v>
      </c>
    </row>
    <row r="1254" spans="1:6" ht="15" customHeight="1" x14ac:dyDescent="0.2">
      <c r="A1254" s="8" t="s">
        <v>631</v>
      </c>
      <c r="B1254" s="8"/>
      <c r="C1254" s="8" t="s">
        <v>566</v>
      </c>
      <c r="D1254" s="29">
        <v>2016.4</v>
      </c>
      <c r="E1254" s="29">
        <v>2019</v>
      </c>
      <c r="F1254" s="29">
        <v>2.58</v>
      </c>
    </row>
    <row r="1255" spans="1:6" ht="15" customHeight="1" x14ac:dyDescent="0.2">
      <c r="A1255" s="8" t="s">
        <v>1843</v>
      </c>
      <c r="B1255" s="8"/>
      <c r="C1255" s="8" t="s">
        <v>566</v>
      </c>
      <c r="D1255" s="29">
        <v>2016.7</v>
      </c>
      <c r="E1255" s="29">
        <v>2019</v>
      </c>
      <c r="F1255" s="29">
        <v>2.33</v>
      </c>
    </row>
    <row r="1256" spans="1:6" ht="15" customHeight="1" x14ac:dyDescent="0.2">
      <c r="A1256" s="8" t="s">
        <v>1844</v>
      </c>
      <c r="B1256" s="8"/>
      <c r="C1256" s="8" t="s">
        <v>562</v>
      </c>
      <c r="D1256" s="29">
        <v>2016.7</v>
      </c>
      <c r="E1256" s="29">
        <v>2019.4</v>
      </c>
      <c r="F1256" s="29">
        <v>2.75</v>
      </c>
    </row>
    <row r="1257" spans="1:6" ht="15" customHeight="1" x14ac:dyDescent="0.2">
      <c r="A1257" s="8" t="s">
        <v>1845</v>
      </c>
      <c r="B1257" s="8"/>
      <c r="C1257" s="8" t="s">
        <v>562</v>
      </c>
      <c r="D1257" s="29">
        <v>2018.1</v>
      </c>
      <c r="E1257" s="29">
        <v>2019.4</v>
      </c>
      <c r="F1257" s="29">
        <v>1.33</v>
      </c>
    </row>
    <row r="1258" spans="1:6" ht="15" customHeight="1" x14ac:dyDescent="0.2">
      <c r="A1258" s="8" t="s">
        <v>1846</v>
      </c>
      <c r="B1258" s="8"/>
      <c r="C1258" s="8" t="s">
        <v>562</v>
      </c>
      <c r="D1258" s="29">
        <v>2018.1</v>
      </c>
      <c r="E1258" s="29">
        <v>2019.4</v>
      </c>
      <c r="F1258" s="29">
        <v>1.33</v>
      </c>
    </row>
    <row r="1259" spans="1:6" ht="15" customHeight="1" x14ac:dyDescent="0.2">
      <c r="A1259" s="8" t="s">
        <v>1847</v>
      </c>
      <c r="B1259" s="8"/>
      <c r="C1259" s="8" t="s">
        <v>562</v>
      </c>
      <c r="D1259" s="29">
        <v>2018.9</v>
      </c>
      <c r="E1259" s="29">
        <v>2019.9</v>
      </c>
      <c r="F1259" s="29">
        <v>1</v>
      </c>
    </row>
    <row r="1260" spans="1:6" ht="15" customHeight="1" x14ac:dyDescent="0.2">
      <c r="A1260" s="8" t="s">
        <v>1848</v>
      </c>
      <c r="B1260" s="8"/>
      <c r="C1260" s="8" t="s">
        <v>560</v>
      </c>
      <c r="D1260" s="29">
        <v>2018</v>
      </c>
      <c r="E1260" s="29">
        <v>2020.3</v>
      </c>
      <c r="F1260" s="29">
        <v>2.33</v>
      </c>
    </row>
    <row r="1261" spans="1:6" ht="15" customHeight="1" x14ac:dyDescent="0.2">
      <c r="A1261" s="8" t="s">
        <v>1849</v>
      </c>
      <c r="B1261" s="8"/>
      <c r="C1261" s="8" t="s">
        <v>564</v>
      </c>
      <c r="D1261" s="29">
        <v>2018.2</v>
      </c>
      <c r="E1261" s="29">
        <v>2023.9</v>
      </c>
      <c r="F1261" s="29">
        <v>5.67</v>
      </c>
    </row>
    <row r="1262" spans="1:6" ht="15" customHeight="1" x14ac:dyDescent="0.2">
      <c r="A1262" s="8" t="s">
        <v>1850</v>
      </c>
      <c r="B1262" s="8"/>
      <c r="C1262" s="8" t="s">
        <v>566</v>
      </c>
      <c r="D1262" s="29">
        <v>2018.2</v>
      </c>
      <c r="E1262" s="29">
        <v>2020.9</v>
      </c>
      <c r="F1262" s="29">
        <v>2.67</v>
      </c>
    </row>
    <row r="1263" spans="1:6" ht="15" customHeight="1" x14ac:dyDescent="0.2">
      <c r="A1263" s="8" t="s">
        <v>1851</v>
      </c>
      <c r="B1263" s="8"/>
      <c r="C1263" s="8" t="s">
        <v>566</v>
      </c>
      <c r="D1263" s="29">
        <v>2021.5</v>
      </c>
      <c r="E1263" s="29">
        <v>2023.6</v>
      </c>
      <c r="F1263" s="29">
        <v>2.08</v>
      </c>
    </row>
    <row r="1264" spans="1:6" ht="15" customHeight="1" x14ac:dyDescent="0.2">
      <c r="A1264" s="8" t="s">
        <v>1852</v>
      </c>
      <c r="B1264" s="8"/>
      <c r="C1264" s="8" t="s">
        <v>566</v>
      </c>
      <c r="D1264" s="29">
        <v>2017.4</v>
      </c>
      <c r="E1264" s="29">
        <v>2020.8</v>
      </c>
      <c r="F1264" s="29">
        <v>3.42</v>
      </c>
    </row>
    <row r="1265" spans="1:6" ht="15" customHeight="1" x14ac:dyDescent="0.2">
      <c r="A1265" s="8" t="s">
        <v>1853</v>
      </c>
      <c r="B1265" s="8"/>
      <c r="C1265" s="8" t="s">
        <v>566</v>
      </c>
      <c r="D1265" s="29">
        <v>2017.4</v>
      </c>
      <c r="E1265" s="29">
        <v>2022.2</v>
      </c>
      <c r="F1265" s="29">
        <v>4.83</v>
      </c>
    </row>
    <row r="1266" spans="1:6" ht="15" customHeight="1" x14ac:dyDescent="0.2">
      <c r="A1266" s="8" t="s">
        <v>1854</v>
      </c>
      <c r="B1266" s="8"/>
      <c r="C1266" s="8" t="s">
        <v>566</v>
      </c>
      <c r="D1266" s="29">
        <v>2017.4</v>
      </c>
      <c r="E1266" s="29">
        <v>2022.9</v>
      </c>
      <c r="F1266" s="29">
        <v>5.5</v>
      </c>
    </row>
    <row r="1267" spans="1:6" ht="15" customHeight="1" x14ac:dyDescent="0.2">
      <c r="A1267" s="8" t="s">
        <v>1855</v>
      </c>
      <c r="B1267" s="8" t="s">
        <v>559</v>
      </c>
      <c r="C1267" s="8" t="s">
        <v>761</v>
      </c>
      <c r="D1267" s="29">
        <v>2015.2</v>
      </c>
      <c r="E1267" s="29">
        <v>2023.9</v>
      </c>
      <c r="F1267" s="29">
        <v>8.67</v>
      </c>
    </row>
    <row r="1268" spans="1:6" ht="15" customHeight="1" x14ac:dyDescent="0.2">
      <c r="A1268" s="8" t="s">
        <v>1856</v>
      </c>
      <c r="B1268" s="8" t="s">
        <v>559</v>
      </c>
      <c r="C1268" s="8" t="s">
        <v>761</v>
      </c>
      <c r="D1268" s="29">
        <v>2015.2</v>
      </c>
      <c r="E1268" s="29">
        <v>2023.9</v>
      </c>
      <c r="F1268" s="29">
        <v>8.67</v>
      </c>
    </row>
    <row r="1269" spans="1:6" ht="15" customHeight="1" x14ac:dyDescent="0.2">
      <c r="A1269" s="8" t="s">
        <v>1857</v>
      </c>
      <c r="B1269" s="8" t="s">
        <v>559</v>
      </c>
      <c r="C1269" s="8" t="s">
        <v>761</v>
      </c>
      <c r="D1269" s="29">
        <v>2015.2</v>
      </c>
      <c r="E1269" s="29">
        <v>2022.2</v>
      </c>
      <c r="F1269" s="29">
        <v>6.92</v>
      </c>
    </row>
    <row r="1270" spans="1:6" ht="15" customHeight="1" x14ac:dyDescent="0.2">
      <c r="A1270" s="8" t="s">
        <v>1858</v>
      </c>
      <c r="B1270" s="8" t="s">
        <v>568</v>
      </c>
      <c r="C1270" s="8" t="s">
        <v>761</v>
      </c>
      <c r="D1270" s="29">
        <v>2015.2</v>
      </c>
      <c r="E1270" s="29">
        <v>2025.2</v>
      </c>
      <c r="F1270" s="29">
        <v>10</v>
      </c>
    </row>
    <row r="1271" spans="1:6" ht="15" customHeight="1" x14ac:dyDescent="0.2">
      <c r="A1271" s="8" t="s">
        <v>1859</v>
      </c>
      <c r="B1271" s="8" t="s">
        <v>559</v>
      </c>
      <c r="C1271" s="8" t="s">
        <v>761</v>
      </c>
      <c r="D1271" s="29">
        <v>2015.2</v>
      </c>
      <c r="E1271" s="29">
        <v>2023.8</v>
      </c>
      <c r="F1271" s="29">
        <v>8.5</v>
      </c>
    </row>
    <row r="1272" spans="1:6" ht="15" customHeight="1" x14ac:dyDescent="0.2">
      <c r="A1272" s="8" t="s">
        <v>1860</v>
      </c>
      <c r="B1272" s="8" t="s">
        <v>559</v>
      </c>
      <c r="C1272" s="8" t="s">
        <v>761</v>
      </c>
      <c r="D1272" s="29">
        <v>2015.2</v>
      </c>
      <c r="E1272" s="29">
        <v>2024.9</v>
      </c>
      <c r="F1272" s="29">
        <v>9.67</v>
      </c>
    </row>
    <row r="1273" spans="1:6" ht="15" customHeight="1" x14ac:dyDescent="0.2">
      <c r="A1273" s="8" t="s">
        <v>1861</v>
      </c>
      <c r="B1273" s="8" t="s">
        <v>559</v>
      </c>
      <c r="C1273" s="8" t="s">
        <v>761</v>
      </c>
      <c r="D1273" s="29">
        <v>2015.2</v>
      </c>
      <c r="E1273" s="29">
        <v>2024.2</v>
      </c>
      <c r="F1273" s="29">
        <v>8.92</v>
      </c>
    </row>
    <row r="1274" spans="1:6" ht="15" customHeight="1" x14ac:dyDescent="0.2">
      <c r="A1274" s="8" t="s">
        <v>1862</v>
      </c>
      <c r="B1274" s="8" t="s">
        <v>559</v>
      </c>
      <c r="C1274" s="8" t="s">
        <v>761</v>
      </c>
      <c r="D1274" s="29">
        <v>2015.2</v>
      </c>
      <c r="E1274" s="29">
        <v>2025.6</v>
      </c>
      <c r="F1274" s="29">
        <v>10.33</v>
      </c>
    </row>
    <row r="1275" spans="1:6" ht="15" customHeight="1" x14ac:dyDescent="0.2">
      <c r="A1275" s="8" t="s">
        <v>1863</v>
      </c>
      <c r="B1275" s="8" t="s">
        <v>559</v>
      </c>
      <c r="C1275" s="8" t="s">
        <v>761</v>
      </c>
      <c r="D1275" s="29">
        <v>2015.2</v>
      </c>
      <c r="E1275" s="29">
        <v>2025.3</v>
      </c>
      <c r="F1275" s="29">
        <v>10.08</v>
      </c>
    </row>
    <row r="1276" spans="1:6" ht="15" customHeight="1" x14ac:dyDescent="0.2">
      <c r="A1276" s="8" t="s">
        <v>1864</v>
      </c>
      <c r="B1276" s="8" t="s">
        <v>559</v>
      </c>
      <c r="C1276" s="8" t="s">
        <v>761</v>
      </c>
      <c r="D1276" s="29">
        <v>2016.3</v>
      </c>
      <c r="E1276" s="29">
        <v>2024.4</v>
      </c>
      <c r="F1276" s="29">
        <v>8.08</v>
      </c>
    </row>
    <row r="1277" spans="1:6" ht="15" customHeight="1" x14ac:dyDescent="0.2">
      <c r="A1277" s="8" t="s">
        <v>1865</v>
      </c>
      <c r="B1277" s="8" t="s">
        <v>568</v>
      </c>
      <c r="C1277" s="8" t="s">
        <v>761</v>
      </c>
      <c r="D1277" s="29">
        <v>2016.3</v>
      </c>
      <c r="E1277" s="29">
        <v>2024</v>
      </c>
      <c r="F1277" s="29">
        <v>7.67</v>
      </c>
    </row>
    <row r="1278" spans="1:6" ht="15" customHeight="1" x14ac:dyDescent="0.2">
      <c r="A1278" s="8" t="s">
        <v>1866</v>
      </c>
      <c r="B1278" s="8" t="s">
        <v>559</v>
      </c>
      <c r="C1278" s="8" t="s">
        <v>761</v>
      </c>
      <c r="D1278" s="29">
        <v>2016.3</v>
      </c>
      <c r="E1278" s="29">
        <v>2024.2</v>
      </c>
      <c r="F1278" s="29">
        <v>7.92</v>
      </c>
    </row>
    <row r="1279" spans="1:6" ht="15" customHeight="1" x14ac:dyDescent="0.2">
      <c r="A1279" s="8" t="s">
        <v>1867</v>
      </c>
      <c r="B1279" s="8" t="s">
        <v>559</v>
      </c>
      <c r="C1279" s="8" t="s">
        <v>761</v>
      </c>
      <c r="D1279" s="29">
        <v>2016.3</v>
      </c>
      <c r="E1279" s="29">
        <v>2023.8</v>
      </c>
      <c r="F1279" s="29">
        <v>7.5</v>
      </c>
    </row>
    <row r="1280" spans="1:6" ht="15" customHeight="1" x14ac:dyDescent="0.2">
      <c r="A1280" s="8" t="s">
        <v>1868</v>
      </c>
      <c r="B1280" s="8" t="s">
        <v>559</v>
      </c>
      <c r="C1280" s="8" t="s">
        <v>761</v>
      </c>
      <c r="D1280" s="29">
        <v>2016.3</v>
      </c>
      <c r="E1280" s="29">
        <v>2025.3</v>
      </c>
      <c r="F1280" s="29">
        <v>9</v>
      </c>
    </row>
    <row r="1281" spans="1:6" ht="15" customHeight="1" x14ac:dyDescent="0.2">
      <c r="A1281" s="8" t="s">
        <v>1869</v>
      </c>
      <c r="B1281" s="8" t="s">
        <v>559</v>
      </c>
      <c r="C1281" s="8" t="s">
        <v>761</v>
      </c>
      <c r="D1281" s="29">
        <v>2016.3</v>
      </c>
      <c r="E1281" s="29">
        <v>2023.8</v>
      </c>
      <c r="F1281" s="29">
        <v>7.5</v>
      </c>
    </row>
    <row r="1282" spans="1:6" ht="15" customHeight="1" x14ac:dyDescent="0.2">
      <c r="A1282" s="8" t="s">
        <v>1870</v>
      </c>
      <c r="B1282" s="8" t="s">
        <v>559</v>
      </c>
      <c r="C1282" s="8" t="s">
        <v>761</v>
      </c>
      <c r="D1282" s="29">
        <v>2016.3</v>
      </c>
      <c r="E1282" s="29">
        <v>2025.6</v>
      </c>
      <c r="F1282" s="29">
        <v>9.25</v>
      </c>
    </row>
    <row r="1283" spans="1:6" ht="15" customHeight="1" x14ac:dyDescent="0.2">
      <c r="A1283" s="8" t="s">
        <v>1871</v>
      </c>
      <c r="B1283" s="8" t="s">
        <v>559</v>
      </c>
      <c r="C1283" s="8" t="s">
        <v>761</v>
      </c>
      <c r="D1283" s="29">
        <v>2016.3</v>
      </c>
      <c r="E1283" s="29">
        <v>2022.9</v>
      </c>
      <c r="F1283" s="29">
        <v>6.58</v>
      </c>
    </row>
    <row r="1284" spans="1:6" ht="15" customHeight="1" x14ac:dyDescent="0.2">
      <c r="A1284" s="8" t="s">
        <v>1872</v>
      </c>
      <c r="B1284" s="8" t="s">
        <v>559</v>
      </c>
      <c r="C1284" s="8" t="s">
        <v>761</v>
      </c>
      <c r="D1284" s="29">
        <v>2017.3</v>
      </c>
      <c r="E1284" s="29">
        <v>2024.4</v>
      </c>
      <c r="F1284" s="29">
        <v>7.08</v>
      </c>
    </row>
    <row r="1285" spans="1:6" ht="15" customHeight="1" x14ac:dyDescent="0.2">
      <c r="A1285" s="8" t="s">
        <v>1873</v>
      </c>
      <c r="B1285" s="8" t="s">
        <v>559</v>
      </c>
      <c r="C1285" s="8" t="s">
        <v>761</v>
      </c>
      <c r="D1285" s="29">
        <v>2017.3</v>
      </c>
      <c r="E1285" s="29">
        <v>2021.9</v>
      </c>
      <c r="F1285" s="29">
        <v>4.58</v>
      </c>
    </row>
    <row r="1286" spans="1:6" ht="15" customHeight="1" x14ac:dyDescent="0.2">
      <c r="A1286" s="8" t="s">
        <v>1874</v>
      </c>
      <c r="B1286" s="8" t="s">
        <v>559</v>
      </c>
      <c r="C1286" s="8" t="s">
        <v>761</v>
      </c>
      <c r="D1286" s="29">
        <v>2017.3</v>
      </c>
      <c r="E1286" s="29">
        <v>2023.8</v>
      </c>
      <c r="F1286" s="29">
        <v>6.5</v>
      </c>
    </row>
    <row r="1287" spans="1:6" ht="15" customHeight="1" x14ac:dyDescent="0.2">
      <c r="A1287" s="8" t="s">
        <v>1875</v>
      </c>
      <c r="B1287" s="8" t="s">
        <v>559</v>
      </c>
      <c r="C1287" s="8" t="s">
        <v>761</v>
      </c>
      <c r="D1287" s="29">
        <v>2018.2</v>
      </c>
      <c r="E1287" s="29">
        <v>2025.8</v>
      </c>
      <c r="F1287" s="29">
        <v>7.58</v>
      </c>
    </row>
    <row r="1288" spans="1:6" ht="15" customHeight="1" x14ac:dyDescent="0.2">
      <c r="A1288" s="8" t="s">
        <v>1876</v>
      </c>
      <c r="B1288" s="8" t="s">
        <v>559</v>
      </c>
      <c r="C1288" s="8" t="s">
        <v>761</v>
      </c>
      <c r="D1288" s="29">
        <v>2018.2</v>
      </c>
      <c r="E1288" s="29">
        <v>2024.9</v>
      </c>
      <c r="F1288" s="29">
        <v>6.67</v>
      </c>
    </row>
    <row r="1289" spans="1:6" ht="15" customHeight="1" x14ac:dyDescent="0.2">
      <c r="A1289" s="8" t="s">
        <v>1877</v>
      </c>
      <c r="B1289" s="8" t="s">
        <v>559</v>
      </c>
      <c r="C1289" s="8" t="s">
        <v>761</v>
      </c>
      <c r="D1289" s="29">
        <v>2007.2</v>
      </c>
      <c r="E1289" s="29">
        <v>2021.4</v>
      </c>
      <c r="F1289" s="29">
        <v>14.17</v>
      </c>
    </row>
    <row r="1290" spans="1:6" ht="15" customHeight="1" x14ac:dyDescent="0.2">
      <c r="A1290" s="8" t="s">
        <v>711</v>
      </c>
      <c r="B1290" s="8" t="s">
        <v>559</v>
      </c>
      <c r="C1290" s="8" t="s">
        <v>761</v>
      </c>
      <c r="D1290" s="29">
        <v>2008.3</v>
      </c>
      <c r="E1290" s="29">
        <v>2022.4</v>
      </c>
      <c r="F1290" s="29">
        <v>14.08</v>
      </c>
    </row>
    <row r="1291" spans="1:6" ht="15" customHeight="1" x14ac:dyDescent="0.2">
      <c r="A1291" s="8" t="s">
        <v>927</v>
      </c>
      <c r="B1291" s="8" t="s">
        <v>559</v>
      </c>
      <c r="C1291" s="8" t="s">
        <v>761</v>
      </c>
      <c r="D1291" s="29">
        <v>2008.3</v>
      </c>
      <c r="E1291" s="29">
        <v>2024.2</v>
      </c>
      <c r="F1291" s="29">
        <v>15.83</v>
      </c>
    </row>
    <row r="1292" spans="1:6" ht="15" customHeight="1" x14ac:dyDescent="0.2">
      <c r="A1292" s="8" t="s">
        <v>764</v>
      </c>
      <c r="B1292" s="8" t="s">
        <v>559</v>
      </c>
      <c r="C1292" s="8" t="s">
        <v>761</v>
      </c>
      <c r="D1292" s="29">
        <v>2010.1</v>
      </c>
      <c r="E1292" s="29">
        <v>2022.9</v>
      </c>
      <c r="F1292" s="29">
        <v>12.83</v>
      </c>
    </row>
    <row r="1293" spans="1:6" ht="15" customHeight="1" x14ac:dyDescent="0.2">
      <c r="A1293" s="8" t="s">
        <v>1878</v>
      </c>
      <c r="B1293" s="8" t="s">
        <v>559</v>
      </c>
      <c r="C1293" s="8" t="s">
        <v>761</v>
      </c>
      <c r="D1293" s="29">
        <v>2010.5</v>
      </c>
      <c r="E1293" s="29">
        <v>2020.9</v>
      </c>
      <c r="F1293" s="29">
        <v>10.42</v>
      </c>
    </row>
    <row r="1294" spans="1:6" ht="15" customHeight="1" x14ac:dyDescent="0.2">
      <c r="A1294" s="8" t="s">
        <v>1879</v>
      </c>
      <c r="B1294" s="8" t="s">
        <v>559</v>
      </c>
      <c r="C1294" s="8" t="s">
        <v>761</v>
      </c>
      <c r="D1294" s="29">
        <v>2010.5</v>
      </c>
      <c r="E1294" s="29">
        <v>2021.8</v>
      </c>
      <c r="F1294" s="29">
        <v>11.25</v>
      </c>
    </row>
    <row r="1295" spans="1:6" ht="15" customHeight="1" x14ac:dyDescent="0.2">
      <c r="A1295" s="8" t="s">
        <v>1880</v>
      </c>
      <c r="B1295" s="8" t="s">
        <v>559</v>
      </c>
      <c r="C1295" s="8" t="s">
        <v>761</v>
      </c>
      <c r="D1295" s="29">
        <v>2010.5</v>
      </c>
      <c r="E1295" s="29">
        <v>2022.2</v>
      </c>
      <c r="F1295" s="29">
        <v>11.67</v>
      </c>
    </row>
    <row r="1296" spans="1:6" ht="15" customHeight="1" x14ac:dyDescent="0.2">
      <c r="A1296" s="8" t="s">
        <v>1881</v>
      </c>
      <c r="B1296" s="8" t="s">
        <v>559</v>
      </c>
      <c r="C1296" s="8" t="s">
        <v>761</v>
      </c>
      <c r="D1296" s="29">
        <v>2012.2</v>
      </c>
      <c r="E1296" s="29">
        <v>2019.2</v>
      </c>
      <c r="F1296" s="29">
        <v>6.92</v>
      </c>
    </row>
    <row r="1297" spans="1:6" ht="15" customHeight="1" x14ac:dyDescent="0.2">
      <c r="A1297" s="8" t="s">
        <v>1882</v>
      </c>
      <c r="B1297" s="8" t="s">
        <v>559</v>
      </c>
      <c r="C1297" s="8" t="s">
        <v>761</v>
      </c>
      <c r="D1297" s="29">
        <v>2013.2</v>
      </c>
      <c r="E1297" s="29">
        <v>2025.2</v>
      </c>
      <c r="F1297" s="29">
        <v>12</v>
      </c>
    </row>
    <row r="1298" spans="1:6" ht="15" customHeight="1" x14ac:dyDescent="0.2">
      <c r="A1298" s="8" t="s">
        <v>1883</v>
      </c>
      <c r="B1298" s="8" t="s">
        <v>559</v>
      </c>
      <c r="C1298" s="8" t="s">
        <v>761</v>
      </c>
      <c r="D1298" s="29">
        <v>2013.2</v>
      </c>
      <c r="E1298" s="29">
        <v>2023.7</v>
      </c>
      <c r="F1298" s="29">
        <v>10.42</v>
      </c>
    </row>
    <row r="1299" spans="1:6" ht="15" customHeight="1" x14ac:dyDescent="0.2">
      <c r="A1299" s="8" t="s">
        <v>1884</v>
      </c>
      <c r="B1299" s="8" t="s">
        <v>559</v>
      </c>
      <c r="C1299" s="8" t="s">
        <v>761</v>
      </c>
      <c r="D1299" s="29">
        <v>2013.2</v>
      </c>
      <c r="E1299" s="29">
        <v>2021.6</v>
      </c>
      <c r="F1299" s="29">
        <v>8.33</v>
      </c>
    </row>
    <row r="1300" spans="1:6" ht="15" customHeight="1" x14ac:dyDescent="0.2">
      <c r="A1300" s="8" t="s">
        <v>1885</v>
      </c>
      <c r="B1300" s="8" t="s">
        <v>559</v>
      </c>
      <c r="C1300" s="8" t="s">
        <v>761</v>
      </c>
      <c r="D1300" s="29">
        <v>2013.2</v>
      </c>
      <c r="E1300" s="29">
        <v>2024.5</v>
      </c>
      <c r="F1300" s="29">
        <v>11.25</v>
      </c>
    </row>
    <row r="1301" spans="1:6" ht="15" customHeight="1" x14ac:dyDescent="0.2">
      <c r="A1301" s="8" t="s">
        <v>1886</v>
      </c>
      <c r="B1301" s="8" t="s">
        <v>559</v>
      </c>
      <c r="C1301" s="8" t="s">
        <v>761</v>
      </c>
      <c r="D1301" s="29">
        <v>2015.5</v>
      </c>
      <c r="E1301" s="29">
        <v>2024.8</v>
      </c>
      <c r="F1301" s="29">
        <v>9.33</v>
      </c>
    </row>
    <row r="1302" spans="1:6" ht="15" customHeight="1" x14ac:dyDescent="0.2">
      <c r="A1302" s="8" t="s">
        <v>1887</v>
      </c>
      <c r="B1302" s="8" t="s">
        <v>559</v>
      </c>
      <c r="C1302" s="8" t="s">
        <v>761</v>
      </c>
      <c r="D1302" s="29">
        <v>2015.5</v>
      </c>
      <c r="E1302" s="29">
        <v>2023.5</v>
      </c>
      <c r="F1302" s="29">
        <v>8</v>
      </c>
    </row>
    <row r="1303" spans="1:6" ht="15" customHeight="1" x14ac:dyDescent="0.2">
      <c r="A1303" s="8" t="s">
        <v>1888</v>
      </c>
      <c r="B1303" s="8" t="s">
        <v>568</v>
      </c>
      <c r="C1303" s="8" t="s">
        <v>761</v>
      </c>
      <c r="D1303" s="29">
        <v>2010.5</v>
      </c>
      <c r="E1303" s="29">
        <v>2019.9</v>
      </c>
      <c r="F1303" s="29">
        <v>9.42</v>
      </c>
    </row>
  </sheetData>
  <sheetProtection sheet="1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A1:Q13"/>
  <sheetViews>
    <sheetView showGridLines="0" zoomScale="85" zoomScaleNormal="85" workbookViewId="0">
      <pane xSplit="1" ySplit="4" topLeftCell="B5" activePane="bottomRight" state="frozen"/>
      <selection activeCell="R16" sqref="R16"/>
      <selection pane="topRight" activeCell="R16" sqref="R16"/>
      <selection pane="bottomLeft" activeCell="R16" sqref="R16"/>
      <selection pane="bottomRight" activeCell="A2" sqref="A2"/>
    </sheetView>
  </sheetViews>
  <sheetFormatPr baseColWidth="10" defaultColWidth="8.6640625" defaultRowHeight="15" x14ac:dyDescent="0.2"/>
  <cols>
    <col min="1" max="1" width="3" customWidth="1"/>
    <col min="2" max="2" width="15" customWidth="1"/>
    <col min="3" max="3" width="14" customWidth="1"/>
    <col min="4" max="5" width="19" customWidth="1"/>
    <col min="6" max="6" width="44" customWidth="1"/>
    <col min="7" max="7" width="33" customWidth="1"/>
    <col min="8" max="8" width="24.1640625" customWidth="1"/>
  </cols>
  <sheetData>
    <row r="1" spans="1:17" ht="17.25" customHeight="1" x14ac:dyDescent="0.2">
      <c r="A1" s="1" t="s">
        <v>1889</v>
      </c>
      <c r="C1" s="2" t="str">
        <f>IF(Checks!$C$4&gt;0,"MODEL IN ERROR","checks OK")</f>
        <v>checks OK</v>
      </c>
    </row>
    <row r="2" spans="1:17" ht="15" customHeight="1" x14ac:dyDescent="0.2">
      <c r="A2" s="88" t="s">
        <v>1890</v>
      </c>
    </row>
    <row r="3" spans="1:17" ht="15" customHeight="1" x14ac:dyDescent="0.2">
      <c r="A3" s="88" t="s">
        <v>1891</v>
      </c>
    </row>
    <row r="4" spans="1:17" ht="15" customHeight="1" x14ac:dyDescent="0.2">
      <c r="B4" s="11" t="s">
        <v>123</v>
      </c>
      <c r="C4" s="11" t="s">
        <v>1892</v>
      </c>
      <c r="D4" s="11" t="s">
        <v>1893</v>
      </c>
      <c r="E4" s="11" t="s">
        <v>1894</v>
      </c>
      <c r="F4" s="11" t="s">
        <v>1895</v>
      </c>
      <c r="G4" s="86" t="s">
        <v>1896</v>
      </c>
      <c r="H4" s="86" t="s">
        <v>1897</v>
      </c>
      <c r="I4" s="86" t="s">
        <v>1898</v>
      </c>
      <c r="J4" s="87"/>
      <c r="K4" s="87"/>
      <c r="L4" s="87"/>
      <c r="M4" s="87"/>
      <c r="N4" s="87"/>
      <c r="O4" s="87"/>
      <c r="P4" s="87"/>
      <c r="Q4" s="87"/>
    </row>
    <row r="5" spans="1:17" ht="15" customHeight="1" x14ac:dyDescent="0.2">
      <c r="B5" s="8" t="s">
        <v>237</v>
      </c>
      <c r="C5" s="24">
        <v>40</v>
      </c>
      <c r="D5" s="30">
        <f>Assumptions!$D$50-C5</f>
        <v>12</v>
      </c>
      <c r="E5" s="30">
        <f>C5+D5</f>
        <v>52</v>
      </c>
      <c r="F5" s="5" t="s">
        <v>1899</v>
      </c>
      <c r="G5" s="8">
        <v>55</v>
      </c>
      <c r="H5" s="94" t="s">
        <v>1900</v>
      </c>
      <c r="I5" s="95" t="s">
        <v>1901</v>
      </c>
    </row>
    <row r="6" spans="1:17" ht="15" customHeight="1" x14ac:dyDescent="0.2">
      <c r="B6" s="8" t="s">
        <v>242</v>
      </c>
      <c r="C6" s="24">
        <v>30</v>
      </c>
      <c r="D6" s="30">
        <f>Assumptions!$D$51-C6</f>
        <v>30</v>
      </c>
      <c r="E6" s="30">
        <f>C6+D6</f>
        <v>60</v>
      </c>
      <c r="F6" s="5" t="s">
        <v>1899</v>
      </c>
      <c r="G6" s="8">
        <v>62</v>
      </c>
      <c r="H6" s="94" t="s">
        <v>1900</v>
      </c>
      <c r="I6" s="95" t="s">
        <v>1902</v>
      </c>
    </row>
    <row r="7" spans="1:17" ht="15" customHeight="1" x14ac:dyDescent="0.2">
      <c r="B7" s="8" t="s">
        <v>247</v>
      </c>
      <c r="C7" s="24">
        <v>49</v>
      </c>
      <c r="D7" s="30">
        <f>Assumptions!$D$52-C7</f>
        <v>46</v>
      </c>
      <c r="E7" s="30">
        <f>C7+D7</f>
        <v>95</v>
      </c>
      <c r="F7" s="5" t="s">
        <v>1903</v>
      </c>
      <c r="G7" s="8">
        <v>92</v>
      </c>
      <c r="H7" s="94" t="s">
        <v>1900</v>
      </c>
      <c r="I7" s="95" t="s">
        <v>1904</v>
      </c>
    </row>
    <row r="8" spans="1:17" ht="15" customHeight="1" x14ac:dyDescent="0.2">
      <c r="B8" s="8" t="s">
        <v>252</v>
      </c>
      <c r="C8" s="24">
        <v>95</v>
      </c>
      <c r="D8" s="30">
        <f>Assumptions!$D$53-C8</f>
        <v>55</v>
      </c>
      <c r="E8" s="30">
        <f>C8+D8</f>
        <v>150</v>
      </c>
      <c r="F8" s="5" t="s">
        <v>1899</v>
      </c>
      <c r="G8" s="8">
        <v>155</v>
      </c>
      <c r="H8" s="94" t="s">
        <v>1900</v>
      </c>
      <c r="I8" s="95" t="s">
        <v>1905</v>
      </c>
    </row>
    <row r="9" spans="1:17" ht="15" customHeight="1" x14ac:dyDescent="0.2">
      <c r="B9" s="8" t="s">
        <v>257</v>
      </c>
      <c r="C9" s="24">
        <v>48</v>
      </c>
      <c r="D9" s="30">
        <f>Assumptions!$D$54-C9</f>
        <v>0</v>
      </c>
      <c r="E9" s="30">
        <f>C9+D9</f>
        <v>48</v>
      </c>
      <c r="F9" s="5" t="s">
        <v>1899</v>
      </c>
      <c r="G9" s="8">
        <v>50</v>
      </c>
      <c r="H9" s="94" t="s">
        <v>1900</v>
      </c>
      <c r="I9" s="95" t="s">
        <v>1906</v>
      </c>
    </row>
    <row r="11" spans="1:17" ht="15" customHeight="1" x14ac:dyDescent="0.2">
      <c r="B11" s="5" t="s">
        <v>1907</v>
      </c>
    </row>
    <row r="13" spans="1:17" ht="15" customHeight="1" x14ac:dyDescent="0.2">
      <c r="A13" t="s">
        <v>1908</v>
      </c>
      <c r="C13" s="31">
        <f>MAX(ABS(E5-G5)/G5, ABS(E6-G6)/G6, ABS(E7-G7)/G7, ABS(E8-G8)/G8, ABS(E9-G9)/G9)</f>
        <v>5.4545454545454543E-2</v>
      </c>
      <c r="D13" s="9">
        <f>--(C13&gt;0.2)</f>
        <v>0</v>
      </c>
    </row>
  </sheetData>
  <sheetProtection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</sheetPr>
  <dimension ref="A1:G13"/>
  <sheetViews>
    <sheetView showGridLines="0" zoomScale="85" zoomScaleNormal="85" workbookViewId="0">
      <pane xSplit="1" ySplit="5" topLeftCell="B6" activePane="bottomRight" state="frozen"/>
      <selection activeCell="R16" sqref="R16"/>
      <selection pane="topRight" activeCell="R16" sqref="R16"/>
      <selection pane="bottomLeft" activeCell="R16" sqref="R16"/>
      <selection pane="bottomRight" activeCell="A2" sqref="A2"/>
    </sheetView>
  </sheetViews>
  <sheetFormatPr baseColWidth="10" defaultColWidth="8.6640625" defaultRowHeight="15" x14ac:dyDescent="0.2"/>
  <cols>
    <col min="1" max="1" width="3" customWidth="1"/>
    <col min="2" max="2" width="15" customWidth="1"/>
    <col min="3" max="3" width="10" customWidth="1"/>
    <col min="4" max="6" width="18" customWidth="1"/>
    <col min="7" max="7" width="12" customWidth="1"/>
    <col min="8" max="8" width="8" customWidth="1"/>
  </cols>
  <sheetData>
    <row r="1" spans="1:7" ht="17.25" customHeight="1" x14ac:dyDescent="0.2">
      <c r="A1" s="1" t="s">
        <v>1909</v>
      </c>
      <c r="C1" s="2" t="str">
        <f>IF(Checks!$C$4&gt;0,"MODEL IN ERROR","checks OK")</f>
        <v>checks OK</v>
      </c>
    </row>
    <row r="2" spans="1:7" ht="15" customHeight="1" x14ac:dyDescent="0.2">
      <c r="A2" s="5" t="s">
        <v>1910</v>
      </c>
    </row>
    <row r="3" spans="1:7" ht="15" customHeight="1" x14ac:dyDescent="0.2">
      <c r="A3" s="93" t="s">
        <v>1911</v>
      </c>
    </row>
    <row r="4" spans="1:7" ht="15" customHeight="1" x14ac:dyDescent="0.2">
      <c r="B4" s="4" t="s">
        <v>1912</v>
      </c>
      <c r="E4" s="32">
        <f>Risk_free</f>
        <v>4.2360000000000002E-2</v>
      </c>
      <c r="F4" s="5" t="s">
        <v>1913</v>
      </c>
    </row>
    <row r="5" spans="1:7" ht="15" customHeight="1" x14ac:dyDescent="0.2">
      <c r="B5" s="11" t="s">
        <v>123</v>
      </c>
      <c r="C5" s="11" t="s">
        <v>1914</v>
      </c>
      <c r="D5" s="11" t="s">
        <v>1915</v>
      </c>
      <c r="E5" s="11" t="s">
        <v>1916</v>
      </c>
      <c r="F5" s="11" t="s">
        <v>1917</v>
      </c>
      <c r="G5" s="11" t="s">
        <v>482</v>
      </c>
    </row>
    <row r="6" spans="1:7" ht="15" customHeight="1" x14ac:dyDescent="0.2">
      <c r="B6" s="8" t="s">
        <v>237</v>
      </c>
      <c r="C6" s="32">
        <f>$E$4</f>
        <v>4.2360000000000002E-2</v>
      </c>
      <c r="D6" s="32">
        <v>0</v>
      </c>
      <c r="E6" s="32">
        <v>2.1000000000000001E-2</v>
      </c>
      <c r="F6" s="33">
        <f>C6+D6+E6</f>
        <v>6.336E-2</v>
      </c>
      <c r="G6" s="111" t="s">
        <v>1918</v>
      </c>
    </row>
    <row r="7" spans="1:7" ht="15" customHeight="1" x14ac:dyDescent="0.2">
      <c r="B7" s="8" t="s">
        <v>242</v>
      </c>
      <c r="C7" s="32">
        <f>$E$4</f>
        <v>4.2360000000000002E-2</v>
      </c>
      <c r="D7" s="32">
        <v>2.3E-3</v>
      </c>
      <c r="E7" s="32">
        <v>1.8700000000000001E-2</v>
      </c>
      <c r="F7" s="33">
        <f>C7+D7+E7</f>
        <v>6.336E-2</v>
      </c>
      <c r="G7" s="111" t="s">
        <v>1918</v>
      </c>
    </row>
    <row r="8" spans="1:7" ht="15" customHeight="1" x14ac:dyDescent="0.2">
      <c r="B8" s="8" t="s">
        <v>247</v>
      </c>
      <c r="C8" s="32">
        <f>$E$4</f>
        <v>4.2360000000000002E-2</v>
      </c>
      <c r="D8" s="32">
        <v>2.8500000000000001E-2</v>
      </c>
      <c r="E8" s="32">
        <v>7.4999999999999997E-3</v>
      </c>
      <c r="F8" s="33">
        <f>C8+D8+E8</f>
        <v>7.8360000000000013E-2</v>
      </c>
      <c r="G8" s="111" t="s">
        <v>1918</v>
      </c>
    </row>
    <row r="9" spans="1:7" ht="15" customHeight="1" x14ac:dyDescent="0.2">
      <c r="B9" s="8" t="s">
        <v>252</v>
      </c>
      <c r="C9" s="32">
        <f>$E$4</f>
        <v>4.2360000000000002E-2</v>
      </c>
      <c r="D9" s="32">
        <v>7.7999999999999996E-3</v>
      </c>
      <c r="E9" s="32">
        <v>1.8200000000000001E-2</v>
      </c>
      <c r="F9" s="33">
        <f>C9+D9+E9</f>
        <v>6.8360000000000004E-2</v>
      </c>
      <c r="G9" s="111" t="s">
        <v>1918</v>
      </c>
    </row>
    <row r="10" spans="1:7" ht="15" customHeight="1" x14ac:dyDescent="0.2">
      <c r="B10" s="8" t="s">
        <v>257</v>
      </c>
      <c r="C10" s="32">
        <f>$E$4</f>
        <v>4.2360000000000002E-2</v>
      </c>
      <c r="D10" s="32">
        <v>7.7999999999999996E-3</v>
      </c>
      <c r="E10" s="32">
        <v>1.8200000000000001E-2</v>
      </c>
      <c r="F10" s="33">
        <f>C10+D10+E10</f>
        <v>6.8360000000000004E-2</v>
      </c>
      <c r="G10" s="111" t="s">
        <v>1918</v>
      </c>
    </row>
    <row r="12" spans="1:7" ht="15" customHeight="1" x14ac:dyDescent="0.2">
      <c r="B12" s="5" t="s">
        <v>1919</v>
      </c>
    </row>
    <row r="13" spans="1:7" ht="15" customHeight="1" x14ac:dyDescent="0.2">
      <c r="B13" s="5" t="s">
        <v>1920</v>
      </c>
    </row>
  </sheetData>
  <sheetProtection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5B6"/>
  </sheetPr>
  <dimension ref="A1:P86"/>
  <sheetViews>
    <sheetView showGridLines="0" zoomScale="85" zoomScaleNormal="85" workbookViewId="0">
      <pane ySplit="9" topLeftCell="A36" activePane="bottomLeft" state="frozen"/>
      <selection activeCell="R16" sqref="R16"/>
      <selection pane="bottomLeft" activeCell="A2" sqref="A2"/>
    </sheetView>
  </sheetViews>
  <sheetFormatPr baseColWidth="10" defaultColWidth="8.6640625" defaultRowHeight="15" x14ac:dyDescent="0.2"/>
  <cols>
    <col min="1" max="1" width="5" customWidth="1"/>
    <col min="2" max="2" width="40" customWidth="1"/>
    <col min="3" max="3" width="13" customWidth="1"/>
    <col min="4" max="5" width="10" customWidth="1"/>
    <col min="6" max="7" width="11" customWidth="1"/>
    <col min="8" max="8" width="15.5" customWidth="1"/>
    <col min="9" max="9" width="11" customWidth="1"/>
    <col min="10" max="10" width="12.83203125" customWidth="1"/>
    <col min="11" max="11" width="14.83203125" customWidth="1"/>
    <col min="12" max="13" width="8" customWidth="1"/>
    <col min="14" max="14" width="18" customWidth="1"/>
    <col min="15" max="15" width="19.1640625" customWidth="1"/>
    <col min="16" max="16" width="23.5" customWidth="1"/>
  </cols>
  <sheetData>
    <row r="1" spans="1:10" ht="17.25" customHeight="1" x14ac:dyDescent="0.2">
      <c r="A1" s="1" t="s">
        <v>91</v>
      </c>
      <c r="C1" s="2" t="str">
        <f>IF(Checks!$C$4&gt;0,"MODEL IN ERROR","checks OK")</f>
        <v>checks OK</v>
      </c>
    </row>
    <row r="2" spans="1:10" ht="15" customHeight="1" x14ac:dyDescent="0.2">
      <c r="A2" s="34" t="s">
        <v>1921</v>
      </c>
    </row>
    <row r="4" spans="1:10" ht="15" customHeight="1" x14ac:dyDescent="0.2">
      <c r="A4" s="4" t="s">
        <v>1922</v>
      </c>
      <c r="B4" s="35" t="s">
        <v>1923</v>
      </c>
    </row>
    <row r="5" spans="1:10" ht="15" customHeight="1" x14ac:dyDescent="0.2">
      <c r="A5" s="4" t="s">
        <v>1924</v>
      </c>
      <c r="B5" s="35" t="s">
        <v>237</v>
      </c>
    </row>
    <row r="6" spans="1:10" ht="15" customHeight="1" x14ac:dyDescent="0.2">
      <c r="A6" s="4" t="s">
        <v>1925</v>
      </c>
      <c r="B6" s="8" t="s">
        <v>1926</v>
      </c>
    </row>
    <row r="7" spans="1:10" ht="15" customHeight="1" x14ac:dyDescent="0.2">
      <c r="A7" s="4" t="s">
        <v>1927</v>
      </c>
      <c r="B7" s="35" t="s">
        <v>1928</v>
      </c>
    </row>
    <row r="9" spans="1:10" ht="15" customHeight="1" x14ac:dyDescent="0.2">
      <c r="A9" s="11" t="s">
        <v>4</v>
      </c>
      <c r="B9" s="11" t="s">
        <v>1929</v>
      </c>
      <c r="C9" s="11" t="s">
        <v>31</v>
      </c>
      <c r="D9" s="11" t="s">
        <v>1930</v>
      </c>
      <c r="E9" s="11" t="s">
        <v>1923</v>
      </c>
      <c r="F9" s="11" t="s">
        <v>1931</v>
      </c>
      <c r="G9" s="11" t="s">
        <v>1932</v>
      </c>
      <c r="H9" s="11" t="s">
        <v>482</v>
      </c>
      <c r="I9" s="109" t="s">
        <v>1933</v>
      </c>
      <c r="J9" s="83"/>
    </row>
    <row r="10" spans="1:10" ht="15" customHeight="1" x14ac:dyDescent="0.2">
      <c r="A10" s="4">
        <v>1</v>
      </c>
      <c r="B10" s="4" t="s">
        <v>1934</v>
      </c>
      <c r="C10" s="21" t="s">
        <v>1935</v>
      </c>
      <c r="D10" s="36">
        <v>24</v>
      </c>
      <c r="E10" s="36">
        <v>17</v>
      </c>
      <c r="F10" s="36">
        <v>13</v>
      </c>
      <c r="G10" s="37">
        <f>INDEX(D10:F10,MATCH($B$4,$D$9:$F$9,0))</f>
        <v>17</v>
      </c>
      <c r="H10" s="88" t="s">
        <v>1936</v>
      </c>
      <c r="I10" s="89" t="s">
        <v>1937</v>
      </c>
      <c r="J10" s="90"/>
    </row>
    <row r="11" spans="1:10" ht="15" customHeight="1" x14ac:dyDescent="0.2">
      <c r="A11" s="4">
        <v>2</v>
      </c>
      <c r="B11" s="4" t="s">
        <v>1938</v>
      </c>
      <c r="C11" s="21" t="s">
        <v>1939</v>
      </c>
      <c r="D11" s="36">
        <v>50000</v>
      </c>
      <c r="E11" s="36">
        <v>42000</v>
      </c>
      <c r="F11" s="36">
        <v>35000</v>
      </c>
      <c r="G11" s="37">
        <f>INDEX(D11:F11,MATCH($B$4,$D$9:$F$9,0))</f>
        <v>42000</v>
      </c>
      <c r="H11" s="88" t="s">
        <v>1940</v>
      </c>
      <c r="I11" s="89" t="s">
        <v>1941</v>
      </c>
      <c r="J11" s="90"/>
    </row>
    <row r="12" spans="1:10" ht="15" customHeight="1" x14ac:dyDescent="0.2">
      <c r="A12" s="4">
        <v>3</v>
      </c>
      <c r="B12" s="4" t="s">
        <v>1942</v>
      </c>
      <c r="C12" s="21" t="s">
        <v>1943</v>
      </c>
      <c r="D12" s="36">
        <v>600</v>
      </c>
      <c r="E12" s="36">
        <v>600</v>
      </c>
      <c r="F12" s="36">
        <v>600</v>
      </c>
      <c r="G12" s="37">
        <f>INDEX(D12:F12,MATCH($B$4,$D$9:$F$9,0))</f>
        <v>600</v>
      </c>
      <c r="H12" s="88" t="s">
        <v>1944</v>
      </c>
      <c r="I12" s="89" t="s">
        <v>1945</v>
      </c>
      <c r="J12" s="90"/>
    </row>
    <row r="13" spans="1:10" ht="15" customHeight="1" x14ac:dyDescent="0.2">
      <c r="A13" s="4">
        <v>4</v>
      </c>
      <c r="B13" s="4" t="s">
        <v>1946</v>
      </c>
      <c r="C13" s="21" t="s">
        <v>61</v>
      </c>
      <c r="D13" s="29">
        <f>INDEX($M$50:$M$54,MATCH($B$5,$B$50:$B$54,0))</f>
        <v>1.1499999999999999</v>
      </c>
      <c r="E13" s="29">
        <f>INDEX($M$50:$M$54,MATCH($B$5,$B$50:$B$54,0))</f>
        <v>1.1499999999999999</v>
      </c>
      <c r="F13" s="29">
        <f>INDEX($M$50:$M$54,MATCH($B$5,$B$50:$B$54,0))</f>
        <v>1.1499999999999999</v>
      </c>
      <c r="G13" s="37">
        <f>INDEX(D13:F13,MATCH($B$4,$D$9:$F$9,0))</f>
        <v>1.1499999999999999</v>
      </c>
      <c r="H13" s="88" t="s">
        <v>1947</v>
      </c>
      <c r="I13" s="89" t="s">
        <v>1948</v>
      </c>
      <c r="J13" s="90"/>
    </row>
    <row r="14" spans="1:10" ht="15" customHeight="1" x14ac:dyDescent="0.2">
      <c r="A14" s="4">
        <v>5</v>
      </c>
      <c r="B14" s="4" t="s">
        <v>1949</v>
      </c>
      <c r="C14" s="21" t="s">
        <v>38</v>
      </c>
      <c r="D14" s="36">
        <v>4</v>
      </c>
      <c r="E14" s="36">
        <v>5.7</v>
      </c>
      <c r="F14" s="36">
        <v>9</v>
      </c>
      <c r="G14" s="37">
        <f>INDEX(D14:F14,MATCH($B$4,$D$9:$F$9,0))</f>
        <v>5.7</v>
      </c>
      <c r="H14" s="88" t="s">
        <v>1950</v>
      </c>
      <c r="I14" s="89" t="s">
        <v>1951</v>
      </c>
      <c r="J14" s="90"/>
    </row>
    <row r="15" spans="1:10" ht="15" customHeight="1" x14ac:dyDescent="0.2">
      <c r="A15" s="4">
        <v>6</v>
      </c>
      <c r="B15" s="4" t="s">
        <v>1952</v>
      </c>
      <c r="C15" s="21" t="s">
        <v>61</v>
      </c>
      <c r="D15" s="29">
        <f>$G$45</f>
        <v>0.88</v>
      </c>
      <c r="E15" s="29">
        <f>$G$45</f>
        <v>0.88</v>
      </c>
      <c r="F15" s="29">
        <f>$G$45</f>
        <v>0.88</v>
      </c>
      <c r="G15" s="37">
        <f>$G$45</f>
        <v>0.88</v>
      </c>
      <c r="H15" s="88" t="s">
        <v>1953</v>
      </c>
      <c r="I15" s="89" t="s">
        <v>1937</v>
      </c>
      <c r="J15" s="90"/>
    </row>
    <row r="16" spans="1:10" ht="15" customHeight="1" x14ac:dyDescent="0.2">
      <c r="A16" s="4">
        <v>7</v>
      </c>
      <c r="B16" s="4" t="s">
        <v>301</v>
      </c>
      <c r="C16" s="21" t="s">
        <v>23</v>
      </c>
      <c r="D16" s="36">
        <v>3</v>
      </c>
      <c r="E16" s="36">
        <v>5</v>
      </c>
      <c r="F16" s="36">
        <v>6</v>
      </c>
      <c r="G16" s="37">
        <f>INDEX(D16:F16,MATCH($B$4,$D$9:$F$9,0))</f>
        <v>5</v>
      </c>
      <c r="H16" s="88" t="s">
        <v>1954</v>
      </c>
      <c r="I16" s="89" t="s">
        <v>1937</v>
      </c>
      <c r="J16" s="90"/>
    </row>
    <row r="17" spans="1:10" ht="15" customHeight="1" x14ac:dyDescent="0.2">
      <c r="A17" s="4">
        <v>8</v>
      </c>
      <c r="B17" s="4" t="s">
        <v>1955</v>
      </c>
      <c r="C17" s="21" t="s">
        <v>1956</v>
      </c>
      <c r="D17" s="36">
        <v>0.9</v>
      </c>
      <c r="E17" s="36">
        <v>0.7</v>
      </c>
      <c r="F17" s="36">
        <v>0.5</v>
      </c>
      <c r="G17" s="37">
        <f>INDEX(D17:F17,MATCH($B$4,$D$9:$F$9,0))</f>
        <v>0.7</v>
      </c>
      <c r="H17" s="88" t="s">
        <v>1957</v>
      </c>
      <c r="I17" s="89" t="s">
        <v>1937</v>
      </c>
      <c r="J17" s="90"/>
    </row>
    <row r="18" spans="1:10" ht="15" customHeight="1" x14ac:dyDescent="0.2">
      <c r="A18" s="4">
        <v>9</v>
      </c>
      <c r="B18" s="4" t="s">
        <v>1958</v>
      </c>
      <c r="C18" s="21" t="s">
        <v>61</v>
      </c>
      <c r="D18" s="36">
        <v>0.4</v>
      </c>
      <c r="E18" s="36">
        <v>0.45</v>
      </c>
      <c r="F18" s="36">
        <v>0.55000000000000004</v>
      </c>
      <c r="G18" s="37">
        <f>INDEX(D18:F18,MATCH($B$4,$D$9:$F$9,0))</f>
        <v>0.45</v>
      </c>
      <c r="H18" s="88" t="s">
        <v>1959</v>
      </c>
      <c r="I18" s="89" t="s">
        <v>1960</v>
      </c>
      <c r="J18" s="90"/>
    </row>
    <row r="19" spans="1:10" ht="15" customHeight="1" x14ac:dyDescent="0.2">
      <c r="A19" s="4">
        <v>10</v>
      </c>
      <c r="B19" s="4" t="s">
        <v>1961</v>
      </c>
      <c r="C19" s="21" t="s">
        <v>61</v>
      </c>
      <c r="D19" s="36">
        <v>0.1</v>
      </c>
      <c r="E19" s="36">
        <v>0.1</v>
      </c>
      <c r="F19" s="36">
        <v>0.1</v>
      </c>
      <c r="G19" s="37">
        <f>INDEX(D19:F19,MATCH($B$4,$D$9:$F$9,0))</f>
        <v>0.1</v>
      </c>
      <c r="H19" s="88" t="s">
        <v>1959</v>
      </c>
      <c r="I19" s="89" t="s">
        <v>1962</v>
      </c>
      <c r="J19" s="90"/>
    </row>
    <row r="20" spans="1:10" ht="15" customHeight="1" x14ac:dyDescent="0.2">
      <c r="A20" s="4">
        <v>11</v>
      </c>
      <c r="B20" s="4" t="s">
        <v>1963</v>
      </c>
      <c r="C20" s="21" t="s">
        <v>23</v>
      </c>
      <c r="D20" s="29">
        <f>$G$16</f>
        <v>5</v>
      </c>
      <c r="E20" s="29">
        <f>$G$16</f>
        <v>5</v>
      </c>
      <c r="F20" s="29">
        <f>$G$16</f>
        <v>5</v>
      </c>
      <c r="G20" s="37">
        <f>$G$16</f>
        <v>5</v>
      </c>
      <c r="H20" s="88" t="s">
        <v>1937</v>
      </c>
      <c r="I20" s="89" t="s">
        <v>1964</v>
      </c>
      <c r="J20" s="110"/>
    </row>
    <row r="21" spans="1:10" ht="15" customHeight="1" x14ac:dyDescent="0.2">
      <c r="A21" s="4">
        <v>12</v>
      </c>
      <c r="B21" s="4" t="s">
        <v>1965</v>
      </c>
      <c r="C21" s="21" t="s">
        <v>9</v>
      </c>
      <c r="D21" s="36">
        <v>100</v>
      </c>
      <c r="E21" s="36">
        <v>100</v>
      </c>
      <c r="F21" s="36">
        <v>100</v>
      </c>
      <c r="G21" s="37">
        <f>INDEX(D21:F21,MATCH($B$4,$D$9:$F$9,0))</f>
        <v>100</v>
      </c>
      <c r="H21" s="88" t="s">
        <v>1937</v>
      </c>
      <c r="I21" s="89" t="s">
        <v>1966</v>
      </c>
      <c r="J21" s="90"/>
    </row>
    <row r="22" spans="1:10" ht="15" customHeight="1" x14ac:dyDescent="0.2">
      <c r="A22" s="4">
        <v>13</v>
      </c>
      <c r="B22" s="4" t="s">
        <v>1967</v>
      </c>
      <c r="C22" s="21" t="s">
        <v>1968</v>
      </c>
      <c r="D22" s="29">
        <f>INDEX($C$50:$C$54,MATCH($B$5,$B$50:$B$54,0))</f>
        <v>80</v>
      </c>
      <c r="E22" s="29">
        <f>INDEX($D$50:$D$54,MATCH($B$5,$B$50:$B$54,0))</f>
        <v>52</v>
      </c>
      <c r="F22" s="29">
        <f>INDEX($E$50:$E$54,MATCH($B$5,$B$50:$B$54,0))</f>
        <v>30</v>
      </c>
      <c r="G22" s="37">
        <f>INDEX(D22:F22,MATCH($B$4,$D$9:$F$9,0))</f>
        <v>52</v>
      </c>
      <c r="H22" s="88" t="s">
        <v>1969</v>
      </c>
      <c r="I22" s="89" t="s">
        <v>1970</v>
      </c>
      <c r="J22" s="90"/>
    </row>
    <row r="23" spans="1:10" ht="15" customHeight="1" x14ac:dyDescent="0.2">
      <c r="A23" s="4">
        <v>14</v>
      </c>
      <c r="B23" s="4" t="s">
        <v>1971</v>
      </c>
      <c r="C23" s="21" t="s">
        <v>23</v>
      </c>
      <c r="D23" s="29">
        <f>INDEX($F$50:$F$54,MATCH($B$5,$B$50:$B$54,0))</f>
        <v>2.5911111111111111</v>
      </c>
      <c r="E23" s="29">
        <f>INDEX($G$50:$G$54,MATCH($B$5,$B$50:$B$54,0))</f>
        <v>2</v>
      </c>
      <c r="F23" s="29">
        <f>INDEX($H$50:$H$54,MATCH($B$5,$B$50:$B$54,0))</f>
        <v>1.4088888888888889</v>
      </c>
      <c r="G23" s="37">
        <f>INDEX(D23:F23,MATCH($B$4,$D$9:$F$9,0))</f>
        <v>2</v>
      </c>
      <c r="H23" s="88" t="s">
        <v>1972</v>
      </c>
      <c r="I23" s="89" t="s">
        <v>1970</v>
      </c>
      <c r="J23" s="90"/>
    </row>
    <row r="24" spans="1:10" ht="15" customHeight="1" x14ac:dyDescent="0.2">
      <c r="A24" s="4">
        <v>15</v>
      </c>
      <c r="B24" s="4" t="s">
        <v>1973</v>
      </c>
      <c r="C24" s="21" t="s">
        <v>61</v>
      </c>
      <c r="D24" s="29">
        <f>INDEX($I$50:$I$54,MATCH($B$5,$B$50:$B$54,0))</f>
        <v>7.8399999999999997E-2</v>
      </c>
      <c r="E24" s="29">
        <f>INDEX($J$50:$J$54,MATCH($B$5,$B$50:$B$54,0))</f>
        <v>6.3399999999999998E-2</v>
      </c>
      <c r="F24" s="29">
        <f>INDEX($K$50:$K$54,MATCH($B$5,$B$50:$B$54,0))</f>
        <v>5.8400000000000001E-2</v>
      </c>
      <c r="G24" s="37">
        <f>INDEX(D24:F24,MATCH($B$4,$D$9:$F$9,0))+$G$46</f>
        <v>6.3399999999999998E-2</v>
      </c>
      <c r="H24" s="88" t="s">
        <v>1918</v>
      </c>
      <c r="I24" s="89" t="s">
        <v>1970</v>
      </c>
      <c r="J24" s="90"/>
    </row>
    <row r="25" spans="1:10" x14ac:dyDescent="0.2">
      <c r="H25" s="92"/>
      <c r="I25" s="91" t="s">
        <v>1937</v>
      </c>
      <c r="J25" s="110"/>
    </row>
    <row r="26" spans="1:10" ht="15" customHeight="1" x14ac:dyDescent="0.2">
      <c r="A26" s="4">
        <v>17</v>
      </c>
      <c r="B26" s="4" t="s">
        <v>1974</v>
      </c>
      <c r="C26" s="21" t="s">
        <v>61</v>
      </c>
      <c r="D26" s="29">
        <f>INDEX($L$50:$L$54,MATCH($B$5,$B$50:$B$54,0))</f>
        <v>0.22</v>
      </c>
      <c r="E26" s="29">
        <f>INDEX($L$50:$L$54,MATCH($B$5,$B$50:$B$54,0))</f>
        <v>0.22</v>
      </c>
      <c r="F26" s="29">
        <f>INDEX($L$50:$L$54,MATCH($B$5,$B$50:$B$54,0))</f>
        <v>0.22</v>
      </c>
      <c r="G26" s="37">
        <f>INDEX(D26:F26,MATCH($B$4,$D$9:$F$9,0))</f>
        <v>0.22</v>
      </c>
      <c r="H26" s="88" t="s">
        <v>1975</v>
      </c>
      <c r="I26" s="89" t="s">
        <v>1970</v>
      </c>
      <c r="J26" s="90"/>
    </row>
    <row r="27" spans="1:10" ht="15" customHeight="1" x14ac:dyDescent="0.2">
      <c r="A27" s="5" t="s">
        <v>1976</v>
      </c>
      <c r="H27" s="92"/>
      <c r="I27" s="91" t="s">
        <v>1937</v>
      </c>
      <c r="J27" s="92"/>
    </row>
    <row r="28" spans="1:10" ht="15" customHeight="1" x14ac:dyDescent="0.2">
      <c r="B28" s="4" t="s">
        <v>1977</v>
      </c>
      <c r="C28" s="21" t="s">
        <v>1978</v>
      </c>
      <c r="F28" s="36">
        <v>8760</v>
      </c>
      <c r="H28" s="88" t="s">
        <v>1937</v>
      </c>
      <c r="I28" s="89" t="s">
        <v>1979</v>
      </c>
      <c r="J28" s="110"/>
    </row>
    <row r="29" spans="1:10" ht="15" customHeight="1" x14ac:dyDescent="0.2">
      <c r="B29" s="4" t="s">
        <v>1980</v>
      </c>
      <c r="C29" s="21" t="s">
        <v>1981</v>
      </c>
      <c r="F29" s="36">
        <v>1000000</v>
      </c>
      <c r="H29" s="92" t="s">
        <v>1937</v>
      </c>
      <c r="I29" s="89" t="s">
        <v>1982</v>
      </c>
      <c r="J29" s="110"/>
    </row>
    <row r="30" spans="1:10" ht="15" customHeight="1" x14ac:dyDescent="0.2">
      <c r="B30" s="4" t="s">
        <v>1983</v>
      </c>
      <c r="C30" s="21" t="s">
        <v>61</v>
      </c>
      <c r="F30" s="36">
        <v>4.0000000000000001E-3</v>
      </c>
      <c r="H30" s="88" t="s">
        <v>1984</v>
      </c>
      <c r="I30" s="91" t="s">
        <v>1985</v>
      </c>
      <c r="J30" s="90"/>
    </row>
    <row r="31" spans="1:10" ht="15" customHeight="1" x14ac:dyDescent="0.2">
      <c r="B31" s="4" t="s">
        <v>1986</v>
      </c>
      <c r="C31" s="21" t="s">
        <v>61</v>
      </c>
      <c r="F31" s="36">
        <v>0.5</v>
      </c>
      <c r="H31" s="88" t="s">
        <v>1975</v>
      </c>
      <c r="I31" s="91" t="s">
        <v>1937</v>
      </c>
      <c r="J31" s="90"/>
    </row>
    <row r="32" spans="1:10" ht="15" customHeight="1" x14ac:dyDescent="0.2">
      <c r="B32" s="4" t="s">
        <v>1987</v>
      </c>
      <c r="C32" s="21" t="s">
        <v>61</v>
      </c>
      <c r="F32" s="36">
        <v>0.65</v>
      </c>
      <c r="H32" s="88" t="s">
        <v>1988</v>
      </c>
      <c r="I32" s="91" t="s">
        <v>1937</v>
      </c>
      <c r="J32" s="90"/>
    </row>
    <row r="33" spans="1:11" ht="15" customHeight="1" x14ac:dyDescent="0.2">
      <c r="B33" s="4" t="s">
        <v>1989</v>
      </c>
      <c r="C33" s="21" t="s">
        <v>61</v>
      </c>
      <c r="F33" s="36">
        <v>0.85</v>
      </c>
      <c r="H33" s="88" t="s">
        <v>1988</v>
      </c>
      <c r="I33" s="91" t="s">
        <v>1937</v>
      </c>
      <c r="J33" s="90"/>
    </row>
    <row r="34" spans="1:11" ht="15" customHeight="1" x14ac:dyDescent="0.2">
      <c r="B34" s="4" t="s">
        <v>1990</v>
      </c>
      <c r="C34" s="21" t="s">
        <v>23</v>
      </c>
      <c r="F34" s="36">
        <v>15</v>
      </c>
      <c r="H34" s="88" t="s">
        <v>1937</v>
      </c>
      <c r="I34" s="89" t="s">
        <v>1991</v>
      </c>
      <c r="J34" s="110"/>
    </row>
    <row r="35" spans="1:11" ht="15" customHeight="1" x14ac:dyDescent="0.2">
      <c r="B35" s="4" t="s">
        <v>1992</v>
      </c>
      <c r="C35" s="21" t="s">
        <v>61</v>
      </c>
      <c r="F35" s="36">
        <v>0.45</v>
      </c>
      <c r="H35" s="88" t="s">
        <v>1984</v>
      </c>
      <c r="I35" s="91" t="s">
        <v>1937</v>
      </c>
      <c r="J35" s="90"/>
    </row>
    <row r="36" spans="1:11" ht="15" customHeight="1" x14ac:dyDescent="0.2">
      <c r="B36" s="4" t="s">
        <v>1993</v>
      </c>
      <c r="C36" s="21" t="s">
        <v>23</v>
      </c>
      <c r="F36" s="36">
        <v>25</v>
      </c>
      <c r="H36" s="88" t="s">
        <v>1984</v>
      </c>
      <c r="I36" s="91" t="s">
        <v>1937</v>
      </c>
      <c r="J36" s="90"/>
    </row>
    <row r="37" spans="1:11" ht="15" customHeight="1" x14ac:dyDescent="0.2">
      <c r="B37" s="4" t="s">
        <v>1994</v>
      </c>
      <c r="C37" s="21" t="s">
        <v>23</v>
      </c>
      <c r="F37" s="36">
        <v>12</v>
      </c>
      <c r="H37" s="88" t="s">
        <v>1984</v>
      </c>
      <c r="I37" s="91" t="s">
        <v>1937</v>
      </c>
      <c r="J37" s="90"/>
    </row>
    <row r="38" spans="1:11" ht="15" customHeight="1" x14ac:dyDescent="0.2">
      <c r="B38" s="4" t="s">
        <v>1995</v>
      </c>
      <c r="C38" s="21" t="s">
        <v>61</v>
      </c>
      <c r="F38" s="36">
        <v>1.4999999999999999E-2</v>
      </c>
      <c r="H38" s="88" t="s">
        <v>1996</v>
      </c>
      <c r="I38" s="91" t="s">
        <v>1937</v>
      </c>
      <c r="J38" s="90"/>
    </row>
    <row r="39" spans="1:11" ht="15" customHeight="1" x14ac:dyDescent="0.2">
      <c r="B39" s="4" t="s">
        <v>1997</v>
      </c>
      <c r="C39" s="21" t="s">
        <v>61</v>
      </c>
      <c r="F39" s="38">
        <v>4.2360000000000002E-2</v>
      </c>
      <c r="H39" s="88" t="s">
        <v>1998</v>
      </c>
      <c r="I39" s="91" t="s">
        <v>1999</v>
      </c>
      <c r="J39" s="90"/>
    </row>
    <row r="40" spans="1:11" ht="15" customHeight="1" x14ac:dyDescent="0.2">
      <c r="B40" s="4" t="s">
        <v>2000</v>
      </c>
      <c r="C40" s="21" t="s">
        <v>2001</v>
      </c>
      <c r="F40" s="36">
        <v>190</v>
      </c>
      <c r="H40" s="88" t="s">
        <v>2002</v>
      </c>
      <c r="I40" s="91" t="s">
        <v>2003</v>
      </c>
      <c r="J40" s="90"/>
    </row>
    <row r="41" spans="1:11" ht="15" customHeight="1" x14ac:dyDescent="0.2">
      <c r="B41" s="4"/>
      <c r="C41" s="21"/>
      <c r="H41" s="88"/>
      <c r="I41" s="92"/>
      <c r="J41" s="90"/>
      <c r="K41" s="92"/>
    </row>
    <row r="42" spans="1:11" ht="15" customHeight="1" x14ac:dyDescent="0.2">
      <c r="B42" s="4"/>
      <c r="C42" s="21"/>
      <c r="H42" s="88"/>
      <c r="I42" s="92"/>
      <c r="J42" s="90"/>
      <c r="K42" s="92"/>
    </row>
    <row r="43" spans="1:11" x14ac:dyDescent="0.2">
      <c r="H43" s="92"/>
      <c r="I43" s="92"/>
      <c r="J43" s="92"/>
      <c r="K43" s="92"/>
    </row>
    <row r="44" spans="1:11" ht="15" customHeight="1" x14ac:dyDescent="0.2">
      <c r="A44" s="5" t="s">
        <v>2004</v>
      </c>
      <c r="C44" s="11" t="s">
        <v>1928</v>
      </c>
      <c r="D44" s="11" t="s">
        <v>2005</v>
      </c>
      <c r="G44" s="11" t="s">
        <v>1932</v>
      </c>
      <c r="H44" s="92"/>
      <c r="I44" s="88" t="s">
        <v>2006</v>
      </c>
      <c r="J44" s="92"/>
      <c r="K44" s="92"/>
    </row>
    <row r="45" spans="1:11" ht="15" customHeight="1" x14ac:dyDescent="0.2">
      <c r="B45" s="4" t="s">
        <v>2007</v>
      </c>
      <c r="C45" s="39">
        <v>0.88</v>
      </c>
      <c r="D45" s="39">
        <v>0.7</v>
      </c>
      <c r="G45" s="40">
        <f>INDEX(C45:D45,MATCH($B$7,$C$44:$D$44,0))</f>
        <v>0.88</v>
      </c>
      <c r="H45" s="92" t="s">
        <v>1953</v>
      </c>
      <c r="I45" s="92" t="s">
        <v>1937</v>
      </c>
      <c r="J45" s="92"/>
      <c r="K45" s="92"/>
    </row>
    <row r="46" spans="1:11" ht="15" customHeight="1" x14ac:dyDescent="0.2">
      <c r="B46" s="4" t="s">
        <v>2008</v>
      </c>
      <c r="C46" s="39">
        <v>0</v>
      </c>
      <c r="D46" s="39">
        <v>4.4999999999999998E-2</v>
      </c>
      <c r="G46" s="40">
        <f>INDEX(C46:D46,MATCH($B$7,$C$44:$D$44,0))</f>
        <v>0</v>
      </c>
      <c r="H46" s="92" t="s">
        <v>2009</v>
      </c>
      <c r="I46" s="92" t="s">
        <v>2010</v>
      </c>
      <c r="J46" s="92"/>
      <c r="K46" s="92"/>
    </row>
    <row r="47" spans="1:11" x14ac:dyDescent="0.2">
      <c r="H47" s="92"/>
      <c r="I47" s="92"/>
      <c r="J47" s="92"/>
      <c r="K47" s="92"/>
    </row>
    <row r="48" spans="1:11" ht="15" customHeight="1" x14ac:dyDescent="0.2">
      <c r="A48" s="5" t="s">
        <v>2011</v>
      </c>
    </row>
    <row r="49" spans="1:16" ht="15" customHeight="1" x14ac:dyDescent="0.2">
      <c r="B49" s="11" t="s">
        <v>123</v>
      </c>
      <c r="C49" s="11" t="s">
        <v>2012</v>
      </c>
      <c r="D49" s="11" t="s">
        <v>2013</v>
      </c>
      <c r="E49" s="11" t="s">
        <v>2014</v>
      </c>
      <c r="F49" s="11" t="s">
        <v>2015</v>
      </c>
      <c r="G49" s="11" t="s">
        <v>2016</v>
      </c>
      <c r="H49" s="11" t="s">
        <v>2017</v>
      </c>
      <c r="I49" s="11" t="s">
        <v>2018</v>
      </c>
      <c r="J49" s="11" t="s">
        <v>2019</v>
      </c>
      <c r="K49" s="11" t="s">
        <v>2020</v>
      </c>
      <c r="L49" s="11" t="s">
        <v>2021</v>
      </c>
      <c r="M49" s="11" t="s">
        <v>2022</v>
      </c>
      <c r="N49" s="11" t="s">
        <v>2023</v>
      </c>
      <c r="O49" s="11" t="s">
        <v>2024</v>
      </c>
      <c r="P49" s="86" t="s">
        <v>2025</v>
      </c>
    </row>
    <row r="50" spans="1:16" ht="15" customHeight="1" x14ac:dyDescent="0.2">
      <c r="B50" s="8" t="s">
        <v>237</v>
      </c>
      <c r="C50" s="41">
        <v>80</v>
      </c>
      <c r="D50" s="41">
        <v>52</v>
      </c>
      <c r="E50" s="41">
        <v>30</v>
      </c>
      <c r="F50" s="28">
        <f>G50*TTP_disp_hi</f>
        <v>2.5911111111111111</v>
      </c>
      <c r="G50" s="36">
        <v>2</v>
      </c>
      <c r="H50" s="28">
        <f>G50*TTP_disp_lo</f>
        <v>1.4088888888888889</v>
      </c>
      <c r="I50" s="39">
        <v>7.8399999999999997E-2</v>
      </c>
      <c r="J50" s="39">
        <v>6.3399999999999998E-2</v>
      </c>
      <c r="K50" s="39">
        <v>5.8400000000000001E-2</v>
      </c>
      <c r="L50" s="39">
        <v>0.22</v>
      </c>
      <c r="M50" s="39">
        <v>1.1499999999999999</v>
      </c>
      <c r="N50" s="36">
        <v>0.4</v>
      </c>
      <c r="O50" s="41">
        <v>3.0000000000000001E-3</v>
      </c>
      <c r="P50" s="47">
        <v>28</v>
      </c>
    </row>
    <row r="51" spans="1:16" ht="15" customHeight="1" x14ac:dyDescent="0.2">
      <c r="B51" s="8" t="s">
        <v>242</v>
      </c>
      <c r="C51" s="41">
        <v>130</v>
      </c>
      <c r="D51" s="41">
        <v>60</v>
      </c>
      <c r="E51" s="41">
        <v>45</v>
      </c>
      <c r="F51" s="29">
        <f>'Interconnection Queue'!$C$4</f>
        <v>5.83</v>
      </c>
      <c r="G51" s="29">
        <f>'Interconnection Queue'!$C$3</f>
        <v>4.5</v>
      </c>
      <c r="H51" s="29">
        <f>'Interconnection Queue'!$C$5</f>
        <v>3.17</v>
      </c>
      <c r="I51" s="39">
        <v>7.8399999999999997E-2</v>
      </c>
      <c r="J51" s="39">
        <v>6.3399999999999998E-2</v>
      </c>
      <c r="K51" s="39">
        <v>5.8400000000000001E-2</v>
      </c>
      <c r="L51" s="39">
        <v>0.21</v>
      </c>
      <c r="M51" s="39">
        <v>1.3</v>
      </c>
      <c r="N51" s="36">
        <v>0.6</v>
      </c>
      <c r="O51" s="41">
        <v>0.01</v>
      </c>
      <c r="P51" s="47">
        <v>384</v>
      </c>
    </row>
    <row r="52" spans="1:16" ht="15" customHeight="1" x14ac:dyDescent="0.2">
      <c r="B52" s="8" t="s">
        <v>247</v>
      </c>
      <c r="C52" s="41">
        <v>120</v>
      </c>
      <c r="D52" s="41">
        <v>95</v>
      </c>
      <c r="E52" s="41">
        <v>70</v>
      </c>
      <c r="F52" s="28">
        <f>G52*TTP_disp_hi</f>
        <v>3.8866666666666667</v>
      </c>
      <c r="G52" s="36">
        <v>3</v>
      </c>
      <c r="H52" s="28">
        <f>G52*TTP_disp_lo</f>
        <v>2.1133333333333333</v>
      </c>
      <c r="I52" s="39">
        <v>0.1084</v>
      </c>
      <c r="J52" s="39">
        <v>7.8399999999999997E-2</v>
      </c>
      <c r="K52" s="39">
        <v>6.8400000000000002E-2</v>
      </c>
      <c r="L52" s="39">
        <v>0.25</v>
      </c>
      <c r="M52" s="39">
        <v>1.5</v>
      </c>
      <c r="N52" s="36">
        <v>0.5</v>
      </c>
      <c r="O52" s="41">
        <v>5.0000000000000001E-3</v>
      </c>
      <c r="P52" s="47">
        <v>670</v>
      </c>
    </row>
    <row r="53" spans="1:16" ht="15" customHeight="1" x14ac:dyDescent="0.2">
      <c r="B53" s="8" t="s">
        <v>252</v>
      </c>
      <c r="C53" s="41">
        <v>180</v>
      </c>
      <c r="D53" s="41">
        <v>150</v>
      </c>
      <c r="E53" s="41">
        <v>130</v>
      </c>
      <c r="F53" s="28">
        <f>G53*TTP_disp_hi</f>
        <v>7.7733333333333334</v>
      </c>
      <c r="G53" s="36">
        <v>6</v>
      </c>
      <c r="H53" s="28">
        <f>G53*TTP_disp_lo</f>
        <v>4.2266666666666666</v>
      </c>
      <c r="I53" s="39">
        <v>8.3400000000000002E-2</v>
      </c>
      <c r="J53" s="39">
        <v>6.8400000000000002E-2</v>
      </c>
      <c r="K53" s="39">
        <v>6.3399999999999998E-2</v>
      </c>
      <c r="L53" s="39">
        <v>0.125</v>
      </c>
      <c r="M53" s="39">
        <v>1.2</v>
      </c>
      <c r="N53" s="36">
        <v>0.8</v>
      </c>
      <c r="O53" s="41">
        <v>1E-3</v>
      </c>
      <c r="P53" s="47">
        <v>290</v>
      </c>
    </row>
    <row r="54" spans="1:16" ht="15" customHeight="1" x14ac:dyDescent="0.2">
      <c r="B54" s="8" t="s">
        <v>257</v>
      </c>
      <c r="C54" s="41">
        <v>65</v>
      </c>
      <c r="D54" s="41">
        <v>48</v>
      </c>
      <c r="E54" s="41">
        <v>30</v>
      </c>
      <c r="F54" s="28">
        <f>G54*TTP_disp_hi</f>
        <v>2.5911111111111111</v>
      </c>
      <c r="G54" s="36">
        <v>2</v>
      </c>
      <c r="H54" s="28">
        <f>G54*TTP_disp_lo</f>
        <v>1.4088888888888889</v>
      </c>
      <c r="I54" s="39">
        <v>8.8400000000000006E-2</v>
      </c>
      <c r="J54" s="39">
        <v>6.8400000000000002E-2</v>
      </c>
      <c r="K54" s="39">
        <v>5.8400000000000001E-2</v>
      </c>
      <c r="L54" s="39">
        <v>0.2</v>
      </c>
      <c r="M54" s="39">
        <v>1.45</v>
      </c>
      <c r="N54" s="36">
        <v>0.3</v>
      </c>
      <c r="O54" s="41">
        <v>5.0000000000000001E-4</v>
      </c>
      <c r="P54" s="47">
        <v>590</v>
      </c>
    </row>
    <row r="55" spans="1:16" ht="15" customHeight="1" x14ac:dyDescent="0.2">
      <c r="A55" s="85" t="s">
        <v>2026</v>
      </c>
      <c r="B55" s="85" t="s">
        <v>2027</v>
      </c>
      <c r="C55" s="85" t="s">
        <v>1969</v>
      </c>
      <c r="D55" s="85" t="s">
        <v>1969</v>
      </c>
      <c r="E55" s="85" t="s">
        <v>1969</v>
      </c>
      <c r="F55" s="85" t="s">
        <v>1972</v>
      </c>
      <c r="G55" s="85" t="s">
        <v>1972</v>
      </c>
      <c r="H55" s="85" t="s">
        <v>1972</v>
      </c>
      <c r="I55" s="85" t="s">
        <v>1918</v>
      </c>
      <c r="J55" s="85" t="s">
        <v>1918</v>
      </c>
      <c r="K55" s="85" t="s">
        <v>1918</v>
      </c>
      <c r="L55" s="85" t="s">
        <v>1975</v>
      </c>
      <c r="M55" s="85" t="s">
        <v>1947</v>
      </c>
      <c r="N55" s="85" t="s">
        <v>2028</v>
      </c>
      <c r="O55" s="85" t="s">
        <v>1975</v>
      </c>
      <c r="P55" s="85" t="s">
        <v>2029</v>
      </c>
    </row>
    <row r="56" spans="1:16" ht="15" customHeight="1" x14ac:dyDescent="0.2">
      <c r="A56" s="5" t="s">
        <v>2030</v>
      </c>
    </row>
    <row r="57" spans="1:16" x14ac:dyDescent="0.2">
      <c r="A57" s="85" t="s">
        <v>2031</v>
      </c>
    </row>
    <row r="58" spans="1:16" ht="15" customHeight="1" x14ac:dyDescent="0.2">
      <c r="A58" s="5" t="s">
        <v>2032</v>
      </c>
      <c r="B58" s="8" t="s">
        <v>2033</v>
      </c>
    </row>
    <row r="59" spans="1:16" ht="15" customHeight="1" x14ac:dyDescent="0.2">
      <c r="B59" s="8" t="s">
        <v>2034</v>
      </c>
    </row>
    <row r="60" spans="1:16" ht="15" customHeight="1" x14ac:dyDescent="0.2">
      <c r="B60" s="8" t="s">
        <v>2035</v>
      </c>
    </row>
    <row r="62" spans="1:16" ht="15" customHeight="1" x14ac:dyDescent="0.2">
      <c r="A62" s="5" t="s">
        <v>2036</v>
      </c>
      <c r="B62" s="5" t="s">
        <v>2037</v>
      </c>
    </row>
    <row r="63" spans="1:16" ht="15" customHeight="1" x14ac:dyDescent="0.2">
      <c r="A63" s="5" t="s">
        <v>2038</v>
      </c>
      <c r="B63" s="5" t="s">
        <v>2039</v>
      </c>
    </row>
    <row r="64" spans="1:16" ht="15" customHeight="1" x14ac:dyDescent="0.2">
      <c r="A64" s="5" t="s">
        <v>2040</v>
      </c>
      <c r="H64" s="92"/>
      <c r="I64" s="92"/>
      <c r="J64" s="92"/>
    </row>
    <row r="65" spans="1:12" ht="15" customHeight="1" x14ac:dyDescent="0.2">
      <c r="B65" s="4" t="s">
        <v>2041</v>
      </c>
      <c r="C65" s="21" t="s">
        <v>61</v>
      </c>
      <c r="D65" s="39">
        <v>0.3</v>
      </c>
      <c r="E65" s="39">
        <v>0.2</v>
      </c>
      <c r="F65" s="39">
        <v>0.15</v>
      </c>
      <c r="G65" s="40">
        <f>INDEX(D65:F65,MATCH($B$4,$D$9:$F$9,0))</f>
        <v>0.2</v>
      </c>
      <c r="H65" s="88" t="s">
        <v>2042</v>
      </c>
      <c r="I65" s="92" t="s">
        <v>2043</v>
      </c>
      <c r="J65" s="90"/>
    </row>
    <row r="66" spans="1:12" ht="15" customHeight="1" x14ac:dyDescent="0.2">
      <c r="B66" s="4" t="s">
        <v>2044</v>
      </c>
      <c r="C66" s="21" t="s">
        <v>1981</v>
      </c>
      <c r="D66" s="36">
        <v>1.7</v>
      </c>
      <c r="E66" s="36">
        <v>2.5</v>
      </c>
      <c r="F66" s="36">
        <v>2.5</v>
      </c>
      <c r="G66" s="37">
        <f>INDEX(D66:F66,MATCH($B$4,$D$9:$F$9,0))</f>
        <v>2.5</v>
      </c>
      <c r="H66" s="88" t="s">
        <v>2045</v>
      </c>
      <c r="I66" s="92" t="s">
        <v>2046</v>
      </c>
      <c r="J66" s="90"/>
    </row>
    <row r="67" spans="1:12" ht="15" customHeight="1" x14ac:dyDescent="0.2">
      <c r="B67" s="4" t="s">
        <v>2047</v>
      </c>
      <c r="D67" s="8">
        <v>2.5</v>
      </c>
      <c r="H67" s="92" t="s">
        <v>513</v>
      </c>
      <c r="I67" s="92" t="s">
        <v>1937</v>
      </c>
      <c r="J67" s="92" t="s">
        <v>1937</v>
      </c>
    </row>
    <row r="68" spans="1:12" ht="15" customHeight="1" x14ac:dyDescent="0.2">
      <c r="B68" s="4" t="s">
        <v>2048</v>
      </c>
      <c r="D68" s="8">
        <v>3</v>
      </c>
      <c r="E68" s="8">
        <v>3</v>
      </c>
      <c r="F68" s="8">
        <v>3</v>
      </c>
      <c r="G68" s="8">
        <v>3</v>
      </c>
      <c r="H68" s="92" t="s">
        <v>513</v>
      </c>
      <c r="I68" s="92" t="s">
        <v>1937</v>
      </c>
      <c r="J68" s="92" t="s">
        <v>1937</v>
      </c>
    </row>
    <row r="69" spans="1:12" ht="15" customHeight="1" x14ac:dyDescent="0.2">
      <c r="B69" s="4" t="s">
        <v>2049</v>
      </c>
      <c r="D69" s="8">
        <v>0.1</v>
      </c>
      <c r="E69" s="8">
        <v>0.1</v>
      </c>
      <c r="F69" s="8">
        <v>0.1</v>
      </c>
      <c r="G69" s="8">
        <v>0.1</v>
      </c>
      <c r="H69" s="92" t="s">
        <v>1937</v>
      </c>
      <c r="I69" s="92" t="s">
        <v>2050</v>
      </c>
      <c r="J69" s="92"/>
    </row>
    <row r="70" spans="1:12" ht="15" customHeight="1" x14ac:dyDescent="0.2">
      <c r="A70" s="5" t="s">
        <v>2051</v>
      </c>
    </row>
    <row r="71" spans="1:12" ht="15" customHeight="1" x14ac:dyDescent="0.2">
      <c r="A71" s="5" t="s">
        <v>2052</v>
      </c>
    </row>
    <row r="72" spans="1:12" ht="15" customHeight="1" x14ac:dyDescent="0.2">
      <c r="A72" s="5" t="s">
        <v>2053</v>
      </c>
    </row>
    <row r="73" spans="1:12" ht="15" customHeight="1" x14ac:dyDescent="0.2">
      <c r="A73" s="5" t="s">
        <v>2054</v>
      </c>
    </row>
    <row r="74" spans="1:12" ht="15" customHeight="1" x14ac:dyDescent="0.2">
      <c r="A74" s="5" t="s">
        <v>2055</v>
      </c>
    </row>
    <row r="75" spans="1:12" ht="15" customHeight="1" x14ac:dyDescent="0.2"/>
    <row r="76" spans="1:12" ht="15" customHeight="1" x14ac:dyDescent="0.2">
      <c r="B76" s="4" t="s">
        <v>2056</v>
      </c>
      <c r="C76" s="39">
        <v>0.1</v>
      </c>
      <c r="D76" s="107" t="s">
        <v>2057</v>
      </c>
    </row>
    <row r="77" spans="1:12" ht="15" customHeight="1" x14ac:dyDescent="0.2">
      <c r="A77" s="43"/>
      <c r="B77" s="4" t="s">
        <v>2058</v>
      </c>
      <c r="C77" s="39">
        <v>0.2</v>
      </c>
      <c r="D77" s="107" t="s">
        <v>2057</v>
      </c>
    </row>
    <row r="79" spans="1:12" ht="15" customHeight="1" x14ac:dyDescent="0.2">
      <c r="A79" s="2" t="s">
        <v>2059</v>
      </c>
    </row>
    <row r="80" spans="1:12" ht="15" customHeight="1" x14ac:dyDescent="0.2">
      <c r="B80" s="44" t="s">
        <v>123</v>
      </c>
      <c r="C80" s="45" t="s">
        <v>2060</v>
      </c>
      <c r="D80" s="45" t="s">
        <v>2061</v>
      </c>
      <c r="E80" s="45" t="s">
        <v>2062</v>
      </c>
      <c r="F80" s="45" t="s">
        <v>2063</v>
      </c>
      <c r="G80" s="45" t="s">
        <v>2064</v>
      </c>
      <c r="H80" s="44" t="s">
        <v>2065</v>
      </c>
      <c r="I80" s="46" t="s">
        <v>2066</v>
      </c>
      <c r="J80" s="46" t="s">
        <v>2067</v>
      </c>
      <c r="K80" s="46" t="s">
        <v>2068</v>
      </c>
      <c r="L80" s="108"/>
    </row>
    <row r="81" spans="2:11" ht="15" customHeight="1" x14ac:dyDescent="0.2">
      <c r="B81" s="4" t="s">
        <v>237</v>
      </c>
      <c r="C81" s="47">
        <v>88</v>
      </c>
      <c r="D81" s="47">
        <v>10</v>
      </c>
      <c r="E81" s="47">
        <v>0</v>
      </c>
      <c r="F81" s="47">
        <v>0</v>
      </c>
      <c r="G81" s="47">
        <v>0</v>
      </c>
      <c r="H81" s="47">
        <v>2</v>
      </c>
      <c r="I81" s="47">
        <v>0</v>
      </c>
      <c r="J81" s="47">
        <v>0</v>
      </c>
      <c r="K81" s="47">
        <v>100</v>
      </c>
    </row>
    <row r="82" spans="2:11" ht="15" customHeight="1" x14ac:dyDescent="0.2">
      <c r="B82" s="4" t="s">
        <v>242</v>
      </c>
      <c r="C82" s="47">
        <v>6</v>
      </c>
      <c r="D82" s="47">
        <v>10</v>
      </c>
      <c r="E82" s="47">
        <v>5</v>
      </c>
      <c r="F82" s="47">
        <v>18</v>
      </c>
      <c r="G82" s="47">
        <v>15</v>
      </c>
      <c r="H82" s="47">
        <v>43</v>
      </c>
      <c r="I82" s="47">
        <v>0</v>
      </c>
      <c r="J82" s="47">
        <v>3</v>
      </c>
      <c r="K82" s="47">
        <v>100</v>
      </c>
    </row>
    <row r="83" spans="2:11" ht="15" customHeight="1" x14ac:dyDescent="0.2">
      <c r="B83" s="4" t="s">
        <v>247</v>
      </c>
      <c r="C83" s="47">
        <v>9</v>
      </c>
      <c r="D83" s="47">
        <v>6</v>
      </c>
      <c r="E83" s="47">
        <v>9</v>
      </c>
      <c r="F83" s="47">
        <v>3</v>
      </c>
      <c r="G83" s="47">
        <v>68</v>
      </c>
      <c r="H83" s="47">
        <v>3</v>
      </c>
      <c r="I83" s="47">
        <v>0</v>
      </c>
      <c r="J83" s="47">
        <v>2</v>
      </c>
      <c r="K83" s="47">
        <v>60</v>
      </c>
    </row>
    <row r="84" spans="2:11" ht="15" customHeight="1" x14ac:dyDescent="0.2">
      <c r="B84" s="4" t="s">
        <v>252</v>
      </c>
      <c r="C84" s="47">
        <v>3</v>
      </c>
      <c r="D84" s="47">
        <v>33</v>
      </c>
      <c r="E84" s="47">
        <v>4</v>
      </c>
      <c r="F84" s="47">
        <v>0</v>
      </c>
      <c r="G84" s="47">
        <v>6</v>
      </c>
      <c r="H84" s="47">
        <v>41</v>
      </c>
      <c r="I84" s="47">
        <v>0</v>
      </c>
      <c r="J84" s="47">
        <v>13</v>
      </c>
      <c r="K84" s="47">
        <v>21</v>
      </c>
    </row>
    <row r="85" spans="2:11" ht="15" customHeight="1" x14ac:dyDescent="0.2">
      <c r="B85" s="4" t="s">
        <v>257</v>
      </c>
      <c r="C85" s="47">
        <v>0</v>
      </c>
      <c r="D85" s="47">
        <v>0</v>
      </c>
      <c r="E85" s="47">
        <v>2</v>
      </c>
      <c r="F85" s="47">
        <v>0</v>
      </c>
      <c r="G85" s="47">
        <v>0</v>
      </c>
      <c r="H85" s="47">
        <v>63</v>
      </c>
      <c r="I85" s="47">
        <v>35</v>
      </c>
      <c r="J85" s="47">
        <v>0</v>
      </c>
      <c r="K85" s="47">
        <v>100</v>
      </c>
    </row>
    <row r="86" spans="2:11" x14ac:dyDescent="0.2">
      <c r="B86" s="85" t="s">
        <v>2026</v>
      </c>
      <c r="C86" s="85" t="s">
        <v>2069</v>
      </c>
      <c r="D86" s="85" t="s">
        <v>2069</v>
      </c>
      <c r="E86" s="85" t="s">
        <v>2069</v>
      </c>
      <c r="F86" s="85" t="s">
        <v>2069</v>
      </c>
      <c r="G86" s="85" t="s">
        <v>2069</v>
      </c>
      <c r="H86" s="85" t="s">
        <v>2069</v>
      </c>
      <c r="I86" s="85" t="s">
        <v>2069</v>
      </c>
      <c r="J86" s="85" t="s">
        <v>2069</v>
      </c>
      <c r="K86" s="85" t="s">
        <v>2070</v>
      </c>
    </row>
  </sheetData>
  <dataValidations count="3">
    <dataValidation type="list" sqref="B4" xr:uid="{00000000-0002-0000-0A00-000000000000}">
      <formula1>List_Scenario</formula1>
      <formula2>0</formula2>
    </dataValidation>
    <dataValidation type="list" sqref="B5" xr:uid="{00000000-0002-0000-0A00-000001000000}">
      <formula1>List_Country</formula1>
      <formula2>0</formula2>
    </dataValidation>
    <dataValidation type="list" sqref="B7" xr:uid="{00000000-0002-0000-0A00-000002000000}">
      <formula1>"Contracted,Merchant"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6000"/>
  </sheetPr>
  <dimension ref="A1:F1"/>
  <sheetViews>
    <sheetView showGridLines="0" zoomScale="85" zoomScaleNormal="85" workbookViewId="0">
      <selection activeCell="R16" sqref="R16"/>
    </sheetView>
  </sheetViews>
  <sheetFormatPr baseColWidth="10" defaultColWidth="8.6640625" defaultRowHeight="15" x14ac:dyDescent="0.2"/>
  <cols>
    <col min="1" max="1" width="4" customWidth="1"/>
  </cols>
  <sheetData>
    <row r="1" spans="1:6" ht="15.75" customHeight="1" x14ac:dyDescent="0.2">
      <c r="A1" s="18" t="s">
        <v>2071</v>
      </c>
      <c r="B1" s="19"/>
      <c r="C1" s="19"/>
      <c r="D1" s="19"/>
      <c r="E1" s="19"/>
      <c r="F1" s="19"/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BF8F00"/>
  </sheetPr>
  <dimension ref="A1:E11"/>
  <sheetViews>
    <sheetView showGridLines="0" zoomScale="85" zoomScaleNormal="85" workbookViewId="0">
      <pane xSplit="1" ySplit="4" topLeftCell="B5" activePane="bottomRight" state="frozen"/>
      <selection activeCell="R16" sqref="R16"/>
      <selection pane="topRight" activeCell="R16" sqref="R16"/>
      <selection pane="bottomLeft" activeCell="R16" sqref="R16"/>
      <selection pane="bottomRight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3" width="12" customWidth="1"/>
    <col min="4" max="4" width="48" customWidth="1"/>
  </cols>
  <sheetData>
    <row r="1" spans="1:5" ht="17.25" customHeight="1" x14ac:dyDescent="0.2">
      <c r="A1" s="1" t="s">
        <v>2072</v>
      </c>
      <c r="C1" s="2" t="str">
        <f>IF(Checks!$C$4&gt;0,"MODEL IN ERROR","checks OK")</f>
        <v>checks OK</v>
      </c>
    </row>
    <row r="2" spans="1:5" ht="15" customHeight="1" x14ac:dyDescent="0.2">
      <c r="A2" s="5" t="s">
        <v>2073</v>
      </c>
    </row>
    <row r="4" spans="1:5" ht="15" customHeight="1" x14ac:dyDescent="0.2">
      <c r="B4" s="11" t="s">
        <v>2074</v>
      </c>
      <c r="C4" s="11" t="s">
        <v>1935</v>
      </c>
      <c r="D4" s="11" t="s">
        <v>2075</v>
      </c>
      <c r="E4" t="s">
        <v>1898</v>
      </c>
    </row>
    <row r="5" spans="1:5" ht="15" customHeight="1" x14ac:dyDescent="0.2">
      <c r="B5" s="4" t="s">
        <v>2076</v>
      </c>
      <c r="C5" s="48">
        <f>Assumptions!$F$35*Assumptions!$E$10</f>
        <v>7.65</v>
      </c>
      <c r="D5" s="5" t="s">
        <v>1936</v>
      </c>
      <c r="E5" t="s">
        <v>2077</v>
      </c>
    </row>
    <row r="6" spans="1:5" ht="15" customHeight="1" x14ac:dyDescent="0.2">
      <c r="B6" s="4" t="s">
        <v>2078</v>
      </c>
      <c r="C6" s="48">
        <f>(1-Assumptions!$F$35)*Assumptions!$E$10</f>
        <v>9.3500000000000014</v>
      </c>
      <c r="D6" s="5" t="s">
        <v>1936</v>
      </c>
      <c r="E6" t="s">
        <v>2079</v>
      </c>
    </row>
    <row r="7" spans="1:5" ht="15" customHeight="1" x14ac:dyDescent="0.2">
      <c r="B7" s="4" t="s">
        <v>2080</v>
      </c>
      <c r="C7" s="48">
        <f>Assumptions!$G$12*Assumptions!$E$11/Unit_scale</f>
        <v>25.2</v>
      </c>
      <c r="D7" s="5" t="s">
        <v>1940</v>
      </c>
      <c r="E7" t="s">
        <v>2081</v>
      </c>
    </row>
    <row r="8" spans="1:5" ht="15" customHeight="1" x14ac:dyDescent="0.2">
      <c r="B8" s="4" t="s">
        <v>2082</v>
      </c>
      <c r="C8" s="48">
        <f>INDEX(Assumptions!$N$50:$N$54,MATCH(Assumptions!$B$5,Assumptions!$B$50:$B$54,0))</f>
        <v>0.4</v>
      </c>
      <c r="D8" s="5" t="s">
        <v>2028</v>
      </c>
      <c r="E8" t="s">
        <v>2083</v>
      </c>
    </row>
    <row r="9" spans="1:5" ht="15" customHeight="1" x14ac:dyDescent="0.2">
      <c r="B9" s="22" t="s">
        <v>2084</v>
      </c>
      <c r="C9" s="49">
        <f>SUM(C5:C8)</f>
        <v>42.6</v>
      </c>
    </row>
    <row r="10" spans="1:5" ht="15" customHeight="1" x14ac:dyDescent="0.2">
      <c r="B10" s="4" t="s">
        <v>2085</v>
      </c>
      <c r="C10" s="50">
        <f>'Unit Economics'!$C$15</f>
        <v>42.599999999999994</v>
      </c>
    </row>
    <row r="11" spans="1:5" ht="15" customHeight="1" x14ac:dyDescent="0.2">
      <c r="B11" s="22" t="s">
        <v>2086</v>
      </c>
      <c r="C11" s="51">
        <f>C9-C10</f>
        <v>0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F8F00"/>
  </sheetPr>
  <dimension ref="A1:H21"/>
  <sheetViews>
    <sheetView showGridLines="0" zoomScale="85" zoomScaleNormal="85" workbookViewId="0">
      <pane xSplit="1" ySplit="3" topLeftCell="B4" activePane="bottomRight" state="frozen"/>
      <selection activeCell="R16" sqref="R16"/>
      <selection pane="topRight" activeCell="R16" sqref="R16"/>
      <selection pane="bottomLeft" activeCell="R16" sqref="R16"/>
      <selection pane="bottomRight"/>
    </sheetView>
  </sheetViews>
  <sheetFormatPr baseColWidth="10" defaultColWidth="8.6640625" defaultRowHeight="15" x14ac:dyDescent="0.2"/>
  <cols>
    <col min="1" max="1" width="4" customWidth="1"/>
    <col min="2" max="2" width="42" customWidth="1"/>
    <col min="3" max="3" width="12" customWidth="1"/>
    <col min="4" max="5" width="8" customWidth="1"/>
    <col min="6" max="6" width="11" customWidth="1"/>
    <col min="7" max="7" width="44" customWidth="1"/>
  </cols>
  <sheetData>
    <row r="1" spans="1:8" ht="17.25" customHeight="1" x14ac:dyDescent="0.2">
      <c r="A1" s="1" t="s">
        <v>2087</v>
      </c>
      <c r="C1" s="2" t="str">
        <f>IF(Checks!$C$4&gt;0,"MODEL IN ERROR","checks OK")</f>
        <v>checks OK</v>
      </c>
    </row>
    <row r="2" spans="1:8" ht="15" customHeight="1" x14ac:dyDescent="0.2">
      <c r="A2" s="5" t="s">
        <v>2088</v>
      </c>
    </row>
    <row r="3" spans="1:8" ht="15" customHeight="1" x14ac:dyDescent="0.2">
      <c r="B3" s="11" t="s">
        <v>2089</v>
      </c>
      <c r="C3" s="11" t="s">
        <v>2090</v>
      </c>
      <c r="D3" s="11" t="s">
        <v>299</v>
      </c>
      <c r="E3" s="11" t="s">
        <v>294</v>
      </c>
      <c r="F3" s="11" t="s">
        <v>31</v>
      </c>
      <c r="G3" s="11" t="s">
        <v>2091</v>
      </c>
      <c r="H3" t="s">
        <v>482</v>
      </c>
    </row>
    <row r="4" spans="1:8" ht="15" customHeight="1" x14ac:dyDescent="0.2">
      <c r="B4" s="4" t="s">
        <v>2092</v>
      </c>
      <c r="C4" s="50">
        <f>Assumptions!$G$12</f>
        <v>600</v>
      </c>
      <c r="F4" s="21" t="s">
        <v>1943</v>
      </c>
      <c r="G4" s="5" t="s">
        <v>283</v>
      </c>
      <c r="H4" t="s">
        <v>2093</v>
      </c>
    </row>
    <row r="5" spans="1:8" ht="15" customHeight="1" x14ac:dyDescent="0.2">
      <c r="B5" s="4" t="s">
        <v>2094</v>
      </c>
      <c r="C5" s="50">
        <f>Assumptions!$G$11</f>
        <v>42000</v>
      </c>
      <c r="F5" s="21" t="s">
        <v>1939</v>
      </c>
      <c r="G5" s="5" t="s">
        <v>2095</v>
      </c>
      <c r="H5" t="s">
        <v>1940</v>
      </c>
    </row>
    <row r="6" spans="1:8" ht="15" customHeight="1" x14ac:dyDescent="0.2">
      <c r="B6" s="4" t="s">
        <v>2096</v>
      </c>
      <c r="C6" s="50">
        <f>Assumptions!$G$14</f>
        <v>5.7</v>
      </c>
      <c r="F6" s="21" t="s">
        <v>38</v>
      </c>
      <c r="G6" s="5" t="s">
        <v>2097</v>
      </c>
      <c r="H6" t="s">
        <v>1950</v>
      </c>
    </row>
    <row r="7" spans="1:8" ht="15" customHeight="1" x14ac:dyDescent="0.2">
      <c r="B7" s="4" t="s">
        <v>2098</v>
      </c>
      <c r="C7" s="50">
        <f>Paid_occupancy</f>
        <v>0.88</v>
      </c>
      <c r="F7" s="21" t="s">
        <v>61</v>
      </c>
      <c r="G7" s="5" t="s">
        <v>2099</v>
      </c>
    </row>
    <row r="8" spans="1:8" ht="15" customHeight="1" x14ac:dyDescent="0.2">
      <c r="B8" s="4" t="s">
        <v>2100</v>
      </c>
      <c r="C8" s="50">
        <f>Facility_capex_MW</f>
        <v>17</v>
      </c>
      <c r="F8" s="21" t="s">
        <v>1935</v>
      </c>
      <c r="G8" s="5" t="s">
        <v>2101</v>
      </c>
      <c r="H8" t="s">
        <v>1936</v>
      </c>
    </row>
    <row r="9" spans="1:8" ht="15" customHeight="1" x14ac:dyDescent="0.2">
      <c r="B9" s="4" t="s">
        <v>2102</v>
      </c>
      <c r="C9" s="50">
        <f>INDEX(Assumptions!$N$50:$N$54,MATCH(Assumptions!$B$5,Assumptions!$B$50:$B$54,0))</f>
        <v>0.4</v>
      </c>
      <c r="F9" s="21" t="s">
        <v>1935</v>
      </c>
      <c r="G9" s="5" t="s">
        <v>2103</v>
      </c>
      <c r="H9" t="s">
        <v>2028</v>
      </c>
    </row>
    <row r="10" spans="1:8" ht="15" customHeight="1" x14ac:dyDescent="0.2">
      <c r="B10" s="4" t="s">
        <v>2104</v>
      </c>
      <c r="C10" s="48">
        <f>C4*C5/Unit_scale</f>
        <v>25.2</v>
      </c>
      <c r="F10" s="21" t="s">
        <v>1935</v>
      </c>
      <c r="G10" s="5" t="s">
        <v>2105</v>
      </c>
    </row>
    <row r="11" spans="1:8" ht="15" customHeight="1" x14ac:dyDescent="0.2">
      <c r="B11" s="4" t="s">
        <v>2106</v>
      </c>
      <c r="C11" s="48">
        <f>C4*C6*Hours_per_year*C7/Unit_scale</f>
        <v>26.364096</v>
      </c>
      <c r="F11" s="21" t="s">
        <v>1956</v>
      </c>
      <c r="G11" s="5" t="s">
        <v>2107</v>
      </c>
    </row>
    <row r="12" spans="1:8" ht="15" customHeight="1" x14ac:dyDescent="0.2">
      <c r="B12" s="4" t="s">
        <v>2108</v>
      </c>
      <c r="C12" s="49">
        <f>C8+C9+C10</f>
        <v>42.599999999999994</v>
      </c>
      <c r="F12" s="21" t="s">
        <v>1935</v>
      </c>
      <c r="G12" s="5" t="s">
        <v>2109</v>
      </c>
    </row>
    <row r="14" spans="1:8" ht="15" customHeight="1" x14ac:dyDescent="0.2">
      <c r="B14" s="7" t="s">
        <v>2110</v>
      </c>
      <c r="F14" s="5" t="s">
        <v>2111</v>
      </c>
    </row>
    <row r="15" spans="1:8" ht="15" customHeight="1" x14ac:dyDescent="0.2">
      <c r="B15" s="22" t="s">
        <v>2112</v>
      </c>
      <c r="C15" s="49">
        <f>Assumptions!$E$10+C9+Assumptions!$G$12*Assumptions!$E$11/Unit_scale</f>
        <v>42.599999999999994</v>
      </c>
      <c r="D15" s="50">
        <v>30</v>
      </c>
      <c r="E15" s="50">
        <v>50</v>
      </c>
      <c r="F15" s="21" t="s">
        <v>1935</v>
      </c>
      <c r="G15" s="5" t="s">
        <v>2113</v>
      </c>
      <c r="H15" t="s">
        <v>2114</v>
      </c>
    </row>
    <row r="16" spans="1:8" ht="15" customHeight="1" x14ac:dyDescent="0.2">
      <c r="B16" s="22" t="s">
        <v>2115</v>
      </c>
      <c r="C16" s="49">
        <f>Assumptions!$G$12*Assumptions!$E$14*Hours_per_year*Paid_occupancy/Unit_scale</f>
        <v>26.364096</v>
      </c>
      <c r="D16" s="50">
        <v>15</v>
      </c>
      <c r="E16" s="50">
        <v>40</v>
      </c>
      <c r="F16" s="21" t="s">
        <v>1956</v>
      </c>
      <c r="G16" s="5" t="s">
        <v>2116</v>
      </c>
      <c r="H16" t="s">
        <v>2117</v>
      </c>
    </row>
    <row r="18" spans="2:3" ht="15" customHeight="1" x14ac:dyDescent="0.2">
      <c r="B18" s="7" t="s">
        <v>2118</v>
      </c>
    </row>
    <row r="19" spans="2:3" ht="15" customHeight="1" x14ac:dyDescent="0.2">
      <c r="B19" s="4" t="s">
        <v>2119</v>
      </c>
      <c r="C19" s="48">
        <f>C12*IT_load_MW</f>
        <v>4259.9999999999991</v>
      </c>
    </row>
    <row r="20" spans="2:3" ht="15" customHeight="1" x14ac:dyDescent="0.2">
      <c r="B20" s="4" t="s">
        <v>2120</v>
      </c>
      <c r="C20" s="48">
        <f>Calculations!$C$7+Calculations!$C$6</f>
        <v>4260</v>
      </c>
    </row>
    <row r="21" spans="2:3" ht="15" customHeight="1" x14ac:dyDescent="0.2">
      <c r="B21" s="22" t="s">
        <v>2086</v>
      </c>
      <c r="C21" s="51">
        <f>C19-C20</f>
        <v>0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BF8F00"/>
  </sheetPr>
  <dimension ref="A1:W22"/>
  <sheetViews>
    <sheetView showGridLines="0" zoomScale="85" zoomScaleNormal="85" workbookViewId="0">
      <pane ySplit="5" topLeftCell="A6" activePane="bottomLeft" state="frozen"/>
      <selection activeCell="R16" sqref="R16"/>
      <selection pane="bottomLeft" activeCell="R16" sqref="R16"/>
    </sheetView>
  </sheetViews>
  <sheetFormatPr baseColWidth="10" defaultColWidth="8.6640625" defaultRowHeight="15" x14ac:dyDescent="0.2"/>
  <cols>
    <col min="1" max="1" width="12" customWidth="1"/>
    <col min="2" max="2" width="18" customWidth="1"/>
    <col min="3" max="3" width="11" customWidth="1"/>
    <col min="4" max="23" width="7" customWidth="1"/>
  </cols>
  <sheetData>
    <row r="1" spans="1:23" ht="17.25" customHeight="1" x14ac:dyDescent="0.2">
      <c r="A1" s="1" t="s">
        <v>2121</v>
      </c>
      <c r="C1" s="2" t="str">
        <f>IF(Checks!$C$4&gt;0,"MODEL IN ERROR","checks OK")</f>
        <v>checks OK</v>
      </c>
    </row>
    <row r="2" spans="1:23" ht="15" customHeight="1" x14ac:dyDescent="0.2">
      <c r="A2" s="5" t="s">
        <v>2122</v>
      </c>
    </row>
    <row r="3" spans="1:23" ht="15" customHeight="1" x14ac:dyDescent="0.2">
      <c r="E3" s="22" t="s">
        <v>2123</v>
      </c>
      <c r="H3" s="51">
        <f>ABS(SUM(Calculations!D48:W48)+Calculations!C7)+C18</f>
        <v>0</v>
      </c>
    </row>
    <row r="13" spans="1:23" ht="15" customHeight="1" x14ac:dyDescent="0.2">
      <c r="A13" s="7" t="s">
        <v>2124</v>
      </c>
    </row>
    <row r="14" spans="1:23" ht="15" customHeight="1" x14ac:dyDescent="0.2">
      <c r="A14" s="4" t="s">
        <v>2125</v>
      </c>
      <c r="C14" s="21">
        <f>ROUND(Assumptions!$G$23,0)</f>
        <v>2</v>
      </c>
    </row>
    <row r="15" spans="1:23" ht="15" customHeight="1" x14ac:dyDescent="0.2">
      <c r="A15" s="4" t="s">
        <v>2126</v>
      </c>
      <c r="D15" s="52">
        <v>0</v>
      </c>
      <c r="E15" s="52">
        <v>1</v>
      </c>
      <c r="F15" s="52">
        <v>2</v>
      </c>
      <c r="G15" s="52">
        <v>3</v>
      </c>
      <c r="H15" s="52">
        <v>4</v>
      </c>
      <c r="I15" s="52">
        <v>5</v>
      </c>
      <c r="J15" s="52">
        <v>6</v>
      </c>
      <c r="K15" s="52">
        <v>7</v>
      </c>
      <c r="L15" s="52">
        <v>8</v>
      </c>
      <c r="M15" s="52">
        <v>9</v>
      </c>
      <c r="N15" s="52">
        <v>10</v>
      </c>
      <c r="O15" s="52">
        <v>11</v>
      </c>
      <c r="P15" s="52">
        <v>12</v>
      </c>
      <c r="Q15" s="52">
        <v>13</v>
      </c>
      <c r="R15" s="52">
        <v>14</v>
      </c>
      <c r="S15" s="52">
        <v>15</v>
      </c>
      <c r="T15" s="52">
        <v>16</v>
      </c>
      <c r="U15" s="52">
        <v>17</v>
      </c>
      <c r="V15" s="52">
        <v>18</v>
      </c>
      <c r="W15" s="52">
        <v>19</v>
      </c>
    </row>
    <row r="16" spans="1:23" ht="15" customHeight="1" x14ac:dyDescent="0.2">
      <c r="A16" s="4" t="s">
        <v>2127</v>
      </c>
      <c r="D16" s="28">
        <f t="shared" ref="D16:W16" si="0">IF($C$14=0,--(D15=0),--(D15&lt;=$C$14-1)/$C$14)</f>
        <v>0.5</v>
      </c>
      <c r="E16" s="28">
        <f t="shared" si="0"/>
        <v>0.5</v>
      </c>
      <c r="F16" s="28">
        <f t="shared" si="0"/>
        <v>0</v>
      </c>
      <c r="G16" s="28">
        <f t="shared" si="0"/>
        <v>0</v>
      </c>
      <c r="H16" s="28">
        <f t="shared" si="0"/>
        <v>0</v>
      </c>
      <c r="I16" s="28">
        <f t="shared" si="0"/>
        <v>0</v>
      </c>
      <c r="J16" s="28">
        <f t="shared" si="0"/>
        <v>0</v>
      </c>
      <c r="K16" s="28">
        <f t="shared" si="0"/>
        <v>0</v>
      </c>
      <c r="L16" s="28">
        <f t="shared" si="0"/>
        <v>0</v>
      </c>
      <c r="M16" s="28">
        <f t="shared" si="0"/>
        <v>0</v>
      </c>
      <c r="N16" s="28">
        <f t="shared" si="0"/>
        <v>0</v>
      </c>
      <c r="O16" s="28">
        <f t="shared" si="0"/>
        <v>0</v>
      </c>
      <c r="P16" s="28">
        <f t="shared" si="0"/>
        <v>0</v>
      </c>
      <c r="Q16" s="28">
        <f t="shared" si="0"/>
        <v>0</v>
      </c>
      <c r="R16" s="28">
        <f t="shared" si="0"/>
        <v>0</v>
      </c>
      <c r="S16" s="28">
        <f t="shared" si="0"/>
        <v>0</v>
      </c>
      <c r="T16" s="28">
        <f t="shared" si="0"/>
        <v>0</v>
      </c>
      <c r="U16" s="28">
        <f t="shared" si="0"/>
        <v>0</v>
      </c>
      <c r="V16" s="28">
        <f t="shared" si="0"/>
        <v>0</v>
      </c>
      <c r="W16" s="28">
        <f t="shared" si="0"/>
        <v>0</v>
      </c>
    </row>
    <row r="17" spans="1:23" ht="15" customHeight="1" x14ac:dyDescent="0.2">
      <c r="A17" s="4" t="s">
        <v>2128</v>
      </c>
      <c r="D17" s="48">
        <f t="shared" ref="D17:W17" si="1">D16*$C$19</f>
        <v>869.99999999999989</v>
      </c>
      <c r="E17" s="48">
        <f t="shared" si="1"/>
        <v>869.99999999999989</v>
      </c>
      <c r="F17" s="48">
        <f t="shared" si="1"/>
        <v>0</v>
      </c>
      <c r="G17" s="48">
        <f t="shared" si="1"/>
        <v>0</v>
      </c>
      <c r="H17" s="48">
        <f t="shared" si="1"/>
        <v>0</v>
      </c>
      <c r="I17" s="48">
        <f t="shared" si="1"/>
        <v>0</v>
      </c>
      <c r="J17" s="48">
        <f t="shared" si="1"/>
        <v>0</v>
      </c>
      <c r="K17" s="48">
        <f t="shared" si="1"/>
        <v>0</v>
      </c>
      <c r="L17" s="48">
        <f t="shared" si="1"/>
        <v>0</v>
      </c>
      <c r="M17" s="48">
        <f t="shared" si="1"/>
        <v>0</v>
      </c>
      <c r="N17" s="48">
        <f t="shared" si="1"/>
        <v>0</v>
      </c>
      <c r="O17" s="48">
        <f t="shared" si="1"/>
        <v>0</v>
      </c>
      <c r="P17" s="48">
        <f t="shared" si="1"/>
        <v>0</v>
      </c>
      <c r="Q17" s="48">
        <f t="shared" si="1"/>
        <v>0</v>
      </c>
      <c r="R17" s="48">
        <f t="shared" si="1"/>
        <v>0</v>
      </c>
      <c r="S17" s="48">
        <f t="shared" si="1"/>
        <v>0</v>
      </c>
      <c r="T17" s="48">
        <f t="shared" si="1"/>
        <v>0</v>
      </c>
      <c r="U17" s="48">
        <f t="shared" si="1"/>
        <v>0</v>
      </c>
      <c r="V17" s="48">
        <f t="shared" si="1"/>
        <v>0</v>
      </c>
      <c r="W17" s="48">
        <f t="shared" si="1"/>
        <v>0</v>
      </c>
    </row>
    <row r="18" spans="1:23" ht="15" customHeight="1" x14ac:dyDescent="0.2">
      <c r="A18" s="4" t="s">
        <v>2129</v>
      </c>
      <c r="C18" s="53">
        <f>ABS(SUM(D16:W16)-1)+ABS(SUM(D17:W17)-C19)</f>
        <v>0</v>
      </c>
    </row>
    <row r="19" spans="1:23" ht="15" customHeight="1" x14ac:dyDescent="0.2">
      <c r="A19" s="4" t="s">
        <v>2130</v>
      </c>
      <c r="C19" s="48">
        <f>('Unit Economics'!$C$8+'Unit Economics'!$C$9)*IT_load_MW</f>
        <v>1739.9999999999998</v>
      </c>
    </row>
    <row r="21" spans="1:23" ht="30" customHeight="1" x14ac:dyDescent="0.2">
      <c r="A21" s="5" t="s">
        <v>2131</v>
      </c>
    </row>
    <row r="22" spans="1:23" ht="30" customHeight="1" x14ac:dyDescent="0.2">
      <c r="A22" s="5" t="s">
        <v>2132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BF8F00"/>
  </sheetPr>
  <dimension ref="A1:X81"/>
  <sheetViews>
    <sheetView showGridLines="0" zoomScale="85" zoomScaleNormal="85" workbookViewId="0">
      <pane xSplit="3" ySplit="4" topLeftCell="D5" activePane="bottomRight" state="frozen"/>
      <selection activeCell="R16" sqref="R16"/>
      <selection pane="topRight" activeCell="R16" sqref="R16"/>
      <selection pane="bottomLeft" activeCell="R16" sqref="R16"/>
      <selection pane="bottomRight" activeCell="AB43" sqref="AB43"/>
    </sheetView>
  </sheetViews>
  <sheetFormatPr baseColWidth="10" defaultColWidth="8.6640625" defaultRowHeight="15" x14ac:dyDescent="0.2"/>
  <cols>
    <col min="1" max="1" width="40" customWidth="1"/>
    <col min="2" max="2" width="7" customWidth="1"/>
    <col min="4" max="24" width="10" customWidth="1"/>
  </cols>
  <sheetData>
    <row r="1" spans="1:3" ht="17.25" customHeight="1" x14ac:dyDescent="0.2">
      <c r="A1" s="1" t="str">
        <f>"Calculations — "&amp;Assumptions!$B$5&amp;" ("&amp;Assumptions!$B$4&amp;")"</f>
        <v>Calculations — Norway (Base)</v>
      </c>
      <c r="C1" s="2" t="str">
        <f>IF(Checks!$C$4&gt;0,"MODEL IN ERROR","checks OK")</f>
        <v>checks OK</v>
      </c>
    </row>
    <row r="2" spans="1:3" ht="15" customHeight="1" x14ac:dyDescent="0.2">
      <c r="A2" s="5" t="s">
        <v>1</v>
      </c>
    </row>
    <row r="4" spans="1:3" ht="15" customHeight="1" x14ac:dyDescent="0.2">
      <c r="A4" s="7" t="s">
        <v>2</v>
      </c>
    </row>
    <row r="5" spans="1:3" ht="15" customHeight="1" x14ac:dyDescent="0.2">
      <c r="A5" s="4" t="s">
        <v>3</v>
      </c>
      <c r="B5" s="21" t="s">
        <v>4</v>
      </c>
      <c r="C5" s="54">
        <f>IT_load_MW*Assumptions!$G$12</f>
        <v>60000</v>
      </c>
    </row>
    <row r="6" spans="1:3" ht="15" customHeight="1" x14ac:dyDescent="0.2">
      <c r="A6" s="4" t="s">
        <v>5</v>
      </c>
      <c r="B6" s="21" t="s">
        <v>6</v>
      </c>
      <c r="C6" s="54">
        <f>C5*Assumptions!$G$11/Unit_scale</f>
        <v>2520</v>
      </c>
    </row>
    <row r="7" spans="1:3" ht="15" customHeight="1" x14ac:dyDescent="0.2">
      <c r="A7" s="4" t="s">
        <v>7</v>
      </c>
      <c r="B7" s="21" t="s">
        <v>6</v>
      </c>
      <c r="C7" s="54">
        <f>IT_load_MW*Facility_capex_MW+IT_load_MW*INDEX(Assumptions!$N$50:$N$54,MATCH(Assumptions!$B$5,Assumptions!$B$50:$B$54,0))</f>
        <v>1740</v>
      </c>
    </row>
    <row r="8" spans="1:3" ht="15" customHeight="1" x14ac:dyDescent="0.2">
      <c r="A8" s="4" t="s">
        <v>8</v>
      </c>
      <c r="B8" s="21" t="s">
        <v>9</v>
      </c>
      <c r="C8" s="54">
        <f>IT_load_MW*Assumptions!$G$13</f>
        <v>114.99999999999999</v>
      </c>
    </row>
    <row r="9" spans="1:3" ht="15" customHeight="1" x14ac:dyDescent="0.2">
      <c r="A9" s="4" t="s">
        <v>10</v>
      </c>
      <c r="B9" s="21" t="s">
        <v>6</v>
      </c>
      <c r="C9" s="54">
        <f>C5*Assumptions!$G$14*Hours_per_year*Paid_occupancy/Unit_scale</f>
        <v>2636.4096</v>
      </c>
    </row>
    <row r="10" spans="1:3" ht="15" customHeight="1" x14ac:dyDescent="0.2">
      <c r="A10" s="4" t="s">
        <v>11</v>
      </c>
      <c r="B10" s="21" t="s">
        <v>6</v>
      </c>
      <c r="C10" s="54">
        <f>C8*Hours_per_year*Assumptions!$G$22*Paid_occupancy/Unit_scale</f>
        <v>46.098623999999994</v>
      </c>
    </row>
    <row r="11" spans="1:3" ht="15" customHeight="1" x14ac:dyDescent="0.2">
      <c r="A11" s="4" t="s">
        <v>12</v>
      </c>
      <c r="B11" s="21" t="s">
        <v>6</v>
      </c>
      <c r="C11" s="54">
        <f>Insurance_rate*C6</f>
        <v>10.08</v>
      </c>
    </row>
    <row r="12" spans="1:3" ht="15" customHeight="1" x14ac:dyDescent="0.2">
      <c r="A12" s="4" t="s">
        <v>13</v>
      </c>
      <c r="B12" s="21" t="s">
        <v>6</v>
      </c>
      <c r="C12" s="54">
        <f>INDEX(Assumptions!$O$50:$O$54,MATCH(Assumptions!$B$5,Assumptions!$B$50:$B$54,0))*(C7+C6)*(1-Prop_tax_abatement)</f>
        <v>6.3900000000000006</v>
      </c>
    </row>
    <row r="13" spans="1:3" ht="15" customHeight="1" x14ac:dyDescent="0.2">
      <c r="A13" s="4" t="s">
        <v>14</v>
      </c>
      <c r="B13" s="21" t="s">
        <v>6</v>
      </c>
      <c r="C13" s="54">
        <f>IT_load_MW*OM_fixed+C11+C12</f>
        <v>86.47</v>
      </c>
    </row>
    <row r="14" spans="1:3" ht="15" customHeight="1" x14ac:dyDescent="0.2">
      <c r="A14" s="4" t="s">
        <v>15</v>
      </c>
      <c r="B14" s="21" t="s">
        <v>6</v>
      </c>
      <c r="C14" s="54">
        <f>C9-C10-C13</f>
        <v>2503.840976</v>
      </c>
    </row>
    <row r="15" spans="1:3" ht="15" customHeight="1" x14ac:dyDescent="0.2">
      <c r="A15" s="4" t="s">
        <v>16</v>
      </c>
      <c r="B15" s="21" t="s">
        <v>17</v>
      </c>
      <c r="C15" s="54">
        <f>Assumptions!$F$35/Assumptions!$F$36+(1-Assumptions!$F$35)/Assumptions!$F$37</f>
        <v>6.3833333333333339E-2</v>
      </c>
    </row>
    <row r="16" spans="1:3" ht="15" customHeight="1" x14ac:dyDescent="0.2">
      <c r="A16" s="4" t="s">
        <v>18</v>
      </c>
      <c r="B16" s="21" t="s">
        <v>6</v>
      </c>
      <c r="C16" s="54">
        <f>C6/GPU_life+C7*C15</f>
        <v>615.07000000000005</v>
      </c>
    </row>
    <row r="17" spans="1:3" ht="15" customHeight="1" x14ac:dyDescent="0.2">
      <c r="A17" s="4" t="s">
        <v>19</v>
      </c>
      <c r="B17" s="21" t="s">
        <v>6</v>
      </c>
      <c r="C17" s="54">
        <f>C14-Assumptions!$G$26*MAX(C14-C16,0)</f>
        <v>2088.3113612799998</v>
      </c>
    </row>
    <row r="18" spans="1:3" ht="15" customHeight="1" x14ac:dyDescent="0.2">
      <c r="A18" s="4" t="s">
        <v>20</v>
      </c>
      <c r="B18" s="21" t="s">
        <v>6</v>
      </c>
      <c r="C18" s="54">
        <f>(C9-C10)*(1-Assumptions!$G$26)</f>
        <v>2020.4425612799998</v>
      </c>
    </row>
    <row r="19" spans="1:3" ht="15" customHeight="1" x14ac:dyDescent="0.2">
      <c r="A19" s="4" t="s">
        <v>21</v>
      </c>
      <c r="B19" s="21" t="s">
        <v>6</v>
      </c>
      <c r="C19" s="54">
        <f>C7*Facility_salvage_pct+C6*GPU_salvage_pct</f>
        <v>1035</v>
      </c>
    </row>
    <row r="20" spans="1:3" ht="15" customHeight="1" x14ac:dyDescent="0.2">
      <c r="A20" s="4" t="s">
        <v>22</v>
      </c>
      <c r="B20" s="21" t="s">
        <v>23</v>
      </c>
      <c r="C20" s="54">
        <f>ROUND(Assumptions!$G$23,0)</f>
        <v>2</v>
      </c>
    </row>
    <row r="21" spans="1:3" ht="15" customHeight="1" x14ac:dyDescent="0.2">
      <c r="A21" s="4" t="s">
        <v>24</v>
      </c>
      <c r="B21" s="21" t="s">
        <v>17</v>
      </c>
      <c r="C21" s="54">
        <f>1/(1+Assumptions!$G$24)</f>
        <v>0.94037991348504801</v>
      </c>
    </row>
    <row r="22" spans="1:3" ht="15" customHeight="1" x14ac:dyDescent="0.2">
      <c r="A22" s="4" t="s">
        <v>25</v>
      </c>
      <c r="B22" s="21" t="s">
        <v>6</v>
      </c>
      <c r="C22" s="54">
        <f>C18*((1-Ramp_yr1)*C21^(C20)+(1-Ramp_yr2)*C21^(C20+1))</f>
        <v>877.37466850564499</v>
      </c>
    </row>
    <row r="23" spans="1:3" ht="15" customHeight="1" x14ac:dyDescent="0.2">
      <c r="A23" s="4" t="s">
        <v>26</v>
      </c>
      <c r="B23" s="21" t="s">
        <v>6</v>
      </c>
      <c r="C23" s="54">
        <f>C5*Assumptions!$G$14*Hours_per_year/Unit_scale</f>
        <v>2995.92</v>
      </c>
    </row>
    <row r="24" spans="1:3" ht="15" customHeight="1" x14ac:dyDescent="0.2">
      <c r="A24" s="4" t="s">
        <v>27</v>
      </c>
      <c r="B24" s="21" t="s">
        <v>6</v>
      </c>
      <c r="C24" s="54">
        <f>C8*Hours_per_year*Assumptions!$G$22/Unit_scale</f>
        <v>52.384799999999991</v>
      </c>
    </row>
    <row r="26" spans="1:3" ht="15" customHeight="1" x14ac:dyDescent="0.2">
      <c r="A26" s="5" t="s">
        <v>28</v>
      </c>
    </row>
    <row r="34" spans="1:24" ht="15" customHeight="1" x14ac:dyDescent="0.2">
      <c r="A34" s="7" t="s">
        <v>29</v>
      </c>
    </row>
    <row r="35" spans="1:24" ht="15" customHeight="1" x14ac:dyDescent="0.2">
      <c r="A35" s="11" t="s">
        <v>30</v>
      </c>
      <c r="B35" s="11" t="s">
        <v>31</v>
      </c>
      <c r="D35" s="52">
        <v>0</v>
      </c>
      <c r="E35" s="52">
        <v>1</v>
      </c>
      <c r="F35" s="52">
        <v>2</v>
      </c>
      <c r="G35" s="52">
        <v>3</v>
      </c>
      <c r="H35" s="52">
        <v>4</v>
      </c>
      <c r="I35" s="52">
        <v>5</v>
      </c>
      <c r="J35" s="52">
        <v>6</v>
      </c>
      <c r="K35" s="52">
        <v>7</v>
      </c>
      <c r="L35" s="52">
        <v>8</v>
      </c>
      <c r="M35" s="52">
        <v>9</v>
      </c>
      <c r="N35" s="52">
        <v>10</v>
      </c>
      <c r="O35" s="52">
        <v>11</v>
      </c>
      <c r="P35" s="52">
        <v>12</v>
      </c>
      <c r="Q35" s="52">
        <v>13</v>
      </c>
      <c r="R35" s="52">
        <v>14</v>
      </c>
      <c r="S35" s="52">
        <v>15</v>
      </c>
      <c r="T35" s="52">
        <v>16</v>
      </c>
      <c r="U35" s="52">
        <v>17</v>
      </c>
      <c r="V35" s="52">
        <v>18</v>
      </c>
      <c r="W35" s="52">
        <v>19</v>
      </c>
      <c r="X35" s="11" t="s">
        <v>32</v>
      </c>
    </row>
    <row r="36" spans="1:24" ht="15" customHeight="1" x14ac:dyDescent="0.2">
      <c r="A36" s="4" t="s">
        <v>33</v>
      </c>
      <c r="B36" s="21" t="s">
        <v>4</v>
      </c>
      <c r="D36" s="4">
        <v>0</v>
      </c>
      <c r="E36" s="4">
        <f t="shared" ref="E36:W36" si="0">D36+1</f>
        <v>1</v>
      </c>
      <c r="F36" s="4">
        <f t="shared" si="0"/>
        <v>2</v>
      </c>
      <c r="G36" s="4">
        <f t="shared" si="0"/>
        <v>3</v>
      </c>
      <c r="H36" s="4">
        <f t="shared" si="0"/>
        <v>4</v>
      </c>
      <c r="I36" s="4">
        <f t="shared" si="0"/>
        <v>5</v>
      </c>
      <c r="J36" s="4">
        <f t="shared" si="0"/>
        <v>6</v>
      </c>
      <c r="K36" s="4">
        <f t="shared" si="0"/>
        <v>7</v>
      </c>
      <c r="L36" s="4">
        <f t="shared" si="0"/>
        <v>8</v>
      </c>
      <c r="M36" s="4">
        <f t="shared" si="0"/>
        <v>9</v>
      </c>
      <c r="N36" s="4">
        <f t="shared" si="0"/>
        <v>10</v>
      </c>
      <c r="O36" s="4">
        <f t="shared" si="0"/>
        <v>11</v>
      </c>
      <c r="P36" s="4">
        <f t="shared" si="0"/>
        <v>12</v>
      </c>
      <c r="Q36" s="4">
        <f t="shared" si="0"/>
        <v>13</v>
      </c>
      <c r="R36" s="4">
        <f t="shared" si="0"/>
        <v>14</v>
      </c>
      <c r="S36" s="4">
        <f t="shared" si="0"/>
        <v>15</v>
      </c>
      <c r="T36" s="4">
        <f t="shared" si="0"/>
        <v>16</v>
      </c>
      <c r="U36" s="4">
        <f t="shared" si="0"/>
        <v>17</v>
      </c>
      <c r="V36" s="4">
        <f t="shared" si="0"/>
        <v>18</v>
      </c>
      <c r="W36" s="4">
        <f t="shared" si="0"/>
        <v>19</v>
      </c>
    </row>
    <row r="37" spans="1:24" ht="15" customHeight="1" x14ac:dyDescent="0.2">
      <c r="A37" s="4" t="s">
        <v>34</v>
      </c>
      <c r="B37" s="21" t="s">
        <v>35</v>
      </c>
      <c r="D37" s="4">
        <f t="shared" ref="D37:W37" si="1">--(D56&gt;0)</f>
        <v>0</v>
      </c>
      <c r="E37" s="4">
        <f t="shared" si="1"/>
        <v>0</v>
      </c>
      <c r="F37" s="4">
        <f t="shared" si="1"/>
        <v>1</v>
      </c>
      <c r="G37" s="4">
        <f t="shared" si="1"/>
        <v>1</v>
      </c>
      <c r="H37" s="4">
        <f t="shared" si="1"/>
        <v>1</v>
      </c>
      <c r="I37" s="4">
        <f t="shared" si="1"/>
        <v>1</v>
      </c>
      <c r="J37" s="4">
        <f t="shared" si="1"/>
        <v>1</v>
      </c>
      <c r="K37" s="4">
        <f t="shared" si="1"/>
        <v>0</v>
      </c>
      <c r="L37" s="4">
        <f t="shared" si="1"/>
        <v>0</v>
      </c>
      <c r="M37" s="4">
        <f t="shared" si="1"/>
        <v>0</v>
      </c>
      <c r="N37" s="4">
        <f t="shared" si="1"/>
        <v>0</v>
      </c>
      <c r="O37" s="4">
        <f t="shared" si="1"/>
        <v>0</v>
      </c>
      <c r="P37" s="4">
        <f t="shared" si="1"/>
        <v>0</v>
      </c>
      <c r="Q37" s="4">
        <f t="shared" si="1"/>
        <v>0</v>
      </c>
      <c r="R37" s="4">
        <f t="shared" si="1"/>
        <v>0</v>
      </c>
      <c r="S37" s="4">
        <f t="shared" si="1"/>
        <v>0</v>
      </c>
      <c r="T37" s="4">
        <f t="shared" si="1"/>
        <v>0</v>
      </c>
      <c r="U37" s="4">
        <f t="shared" si="1"/>
        <v>0</v>
      </c>
      <c r="V37" s="4">
        <f t="shared" si="1"/>
        <v>0</v>
      </c>
      <c r="W37" s="4">
        <f t="shared" si="1"/>
        <v>0</v>
      </c>
      <c r="X37" s="4">
        <f>--(SUM(D37:W37)&lt;&gt;GPU_life)</f>
        <v>0</v>
      </c>
    </row>
    <row r="38" spans="1:24" ht="15" customHeight="1" x14ac:dyDescent="0.2">
      <c r="A38" s="4" t="s">
        <v>36</v>
      </c>
      <c r="B38" s="21" t="s">
        <v>17</v>
      </c>
      <c r="D38" s="28">
        <f t="shared" ref="D38:W38" si="2">D37*(1-(1-Ramp_yr1)*((D36-$C$20-MAX(D56-1,0)*GPU_life)=0)-(1-Ramp_yr2)*((D36-$C$20-MAX(D56-1,0)*GPU_life)=1))</f>
        <v>0</v>
      </c>
      <c r="E38" s="28">
        <f t="shared" si="2"/>
        <v>0</v>
      </c>
      <c r="F38" s="28">
        <f t="shared" si="2"/>
        <v>0.65</v>
      </c>
      <c r="G38" s="28">
        <f t="shared" si="2"/>
        <v>0.85</v>
      </c>
      <c r="H38" s="28">
        <f t="shared" si="2"/>
        <v>1</v>
      </c>
      <c r="I38" s="28">
        <f t="shared" si="2"/>
        <v>1</v>
      </c>
      <c r="J38" s="28">
        <f t="shared" si="2"/>
        <v>1</v>
      </c>
      <c r="K38" s="28">
        <f t="shared" si="2"/>
        <v>0</v>
      </c>
      <c r="L38" s="28">
        <f t="shared" si="2"/>
        <v>0</v>
      </c>
      <c r="M38" s="28">
        <f t="shared" si="2"/>
        <v>0</v>
      </c>
      <c r="N38" s="28">
        <f t="shared" si="2"/>
        <v>0</v>
      </c>
      <c r="O38" s="28">
        <f t="shared" si="2"/>
        <v>0</v>
      </c>
      <c r="P38" s="28">
        <f t="shared" si="2"/>
        <v>0</v>
      </c>
      <c r="Q38" s="28">
        <f t="shared" si="2"/>
        <v>0</v>
      </c>
      <c r="R38" s="28">
        <f t="shared" si="2"/>
        <v>0</v>
      </c>
      <c r="S38" s="28">
        <f t="shared" si="2"/>
        <v>0</v>
      </c>
      <c r="T38" s="28">
        <f t="shared" si="2"/>
        <v>0</v>
      </c>
      <c r="U38" s="28">
        <f t="shared" si="2"/>
        <v>0</v>
      </c>
      <c r="V38" s="28">
        <f t="shared" si="2"/>
        <v>0</v>
      </c>
      <c r="W38" s="28">
        <f t="shared" si="2"/>
        <v>0</v>
      </c>
    </row>
    <row r="39" spans="1:24" ht="15" customHeight="1" x14ac:dyDescent="0.2">
      <c r="A39" s="4" t="s">
        <v>37</v>
      </c>
      <c r="B39" s="21" t="s">
        <v>38</v>
      </c>
      <c r="D39" s="48">
        <f>IF(Assumptions!$B$7="Contracted",MAX(Price_floor,Compute_P0*(1-Price_decline)^(Assumptions!$G$23+MAX(D56-1,0)*GPU_life)),MAX(Price_floor,Compute_P0*(1-Price_decline)^MAX(Assumptions!$G$23+D36-$C$20)))</f>
        <v>3.648000000000001</v>
      </c>
      <c r="E39" s="48">
        <f>IF(Assumptions!$B$7="Contracted",MAX(Price_floor,Compute_P0*(1-Price_decline)^(Assumptions!$G$23+MAX(E56-1,0)*GPU_life)),MAX(Price_floor,Compute_P0*(1-Price_decline)^MAX(Assumptions!$G$23+E36-$C$20)))</f>
        <v>3.648000000000001</v>
      </c>
      <c r="F39" s="48">
        <f>IF(Assumptions!$B$7="Contracted",MAX(Price_floor,Compute_P0*(1-Price_decline)^(Assumptions!$G$23+MAX(F56-1,0)*GPU_life)),MAX(Price_floor,Compute_P0*(1-Price_decline)^MAX(Assumptions!$G$23+F36-$C$20)))</f>
        <v>3.648000000000001</v>
      </c>
      <c r="G39" s="48">
        <f>IF(Assumptions!$B$7="Contracted",MAX(Price_floor,Compute_P0*(1-Price_decline)^(Assumptions!$G$23+MAX(G56-1,0)*GPU_life)),MAX(Price_floor,Compute_P0*(1-Price_decline)^MAX(Assumptions!$G$23+G36-$C$20)))</f>
        <v>3.648000000000001</v>
      </c>
      <c r="H39" s="48">
        <f>IF(Assumptions!$B$7="Contracted",MAX(Price_floor,Compute_P0*(1-Price_decline)^(Assumptions!$G$23+MAX(H56-1,0)*GPU_life)),MAX(Price_floor,Compute_P0*(1-Price_decline)^MAX(Assumptions!$G$23+H36-$C$20)))</f>
        <v>3.648000000000001</v>
      </c>
      <c r="I39" s="48">
        <f>IF(Assumptions!$B$7="Contracted",MAX(Price_floor,Compute_P0*(1-Price_decline)^(Assumptions!$G$23+MAX(I56-1,0)*GPU_life)),MAX(Price_floor,Compute_P0*(1-Price_decline)^MAX(Assumptions!$G$23+I36-$C$20)))</f>
        <v>3.648000000000001</v>
      </c>
      <c r="J39" s="48">
        <f>IF(Assumptions!$B$7="Contracted",MAX(Price_floor,Compute_P0*(1-Price_decline)^(Assumptions!$G$23+MAX(J56-1,0)*GPU_life)),MAX(Price_floor,Compute_P0*(1-Price_decline)^MAX(Assumptions!$G$23+J36-$C$20)))</f>
        <v>3.648000000000001</v>
      </c>
      <c r="K39" s="48">
        <f>IF(Assumptions!$B$7="Contracted",MAX(Price_floor,Compute_P0*(1-Price_decline)^(Assumptions!$G$23+MAX(K56-1,0)*GPU_life)),MAX(Price_floor,Compute_P0*(1-Price_decline)^MAX(Assumptions!$G$23+K36-$C$20)))</f>
        <v>3.648000000000001</v>
      </c>
      <c r="L39" s="48">
        <f>IF(Assumptions!$B$7="Contracted",MAX(Price_floor,Compute_P0*(1-Price_decline)^(Assumptions!$G$23+MAX(L56-1,0)*GPU_life)),MAX(Price_floor,Compute_P0*(1-Price_decline)^MAX(Assumptions!$G$23+L36-$C$20)))</f>
        <v>3.648000000000001</v>
      </c>
      <c r="M39" s="48">
        <f>IF(Assumptions!$B$7="Contracted",MAX(Price_floor,Compute_P0*(1-Price_decline)^(Assumptions!$G$23+MAX(M56-1,0)*GPU_life)),MAX(Price_floor,Compute_P0*(1-Price_decline)^MAX(Assumptions!$G$23+M36-$C$20)))</f>
        <v>3.648000000000001</v>
      </c>
      <c r="N39" s="48">
        <f>IF(Assumptions!$B$7="Contracted",MAX(Price_floor,Compute_P0*(1-Price_decline)^(Assumptions!$G$23+MAX(N56-1,0)*GPU_life)),MAX(Price_floor,Compute_P0*(1-Price_decline)^MAX(Assumptions!$G$23+N36-$C$20)))</f>
        <v>3.648000000000001</v>
      </c>
      <c r="O39" s="48">
        <f>IF(Assumptions!$B$7="Contracted",MAX(Price_floor,Compute_P0*(1-Price_decline)^(Assumptions!$G$23+MAX(O56-1,0)*GPU_life)),MAX(Price_floor,Compute_P0*(1-Price_decline)^MAX(Assumptions!$G$23+O36-$C$20)))</f>
        <v>3.648000000000001</v>
      </c>
      <c r="P39" s="48">
        <f>IF(Assumptions!$B$7="Contracted",MAX(Price_floor,Compute_P0*(1-Price_decline)^(Assumptions!$G$23+MAX(P56-1,0)*GPU_life)),MAX(Price_floor,Compute_P0*(1-Price_decline)^MAX(Assumptions!$G$23+P36-$C$20)))</f>
        <v>3.648000000000001</v>
      </c>
      <c r="Q39" s="48">
        <f>IF(Assumptions!$B$7="Contracted",MAX(Price_floor,Compute_P0*(1-Price_decline)^(Assumptions!$G$23+MAX(Q56-1,0)*GPU_life)),MAX(Price_floor,Compute_P0*(1-Price_decline)^MAX(Assumptions!$G$23+Q36-$C$20)))</f>
        <v>3.648000000000001</v>
      </c>
      <c r="R39" s="48">
        <f>IF(Assumptions!$B$7="Contracted",MAX(Price_floor,Compute_P0*(1-Price_decline)^(Assumptions!$G$23+MAX(R56-1,0)*GPU_life)),MAX(Price_floor,Compute_P0*(1-Price_decline)^MAX(Assumptions!$G$23+R36-$C$20)))</f>
        <v>3.648000000000001</v>
      </c>
      <c r="S39" s="48">
        <f>IF(Assumptions!$B$7="Contracted",MAX(Price_floor,Compute_P0*(1-Price_decline)^(Assumptions!$G$23+MAX(S56-1,0)*GPU_life)),MAX(Price_floor,Compute_P0*(1-Price_decline)^MAX(Assumptions!$G$23+S36-$C$20)))</f>
        <v>3.648000000000001</v>
      </c>
      <c r="T39" s="48">
        <f>IF(Assumptions!$B$7="Contracted",MAX(Price_floor,Compute_P0*(1-Price_decline)^(Assumptions!$G$23+MAX(T56-1,0)*GPU_life)),MAX(Price_floor,Compute_P0*(1-Price_decline)^MAX(Assumptions!$G$23+T36-$C$20)))</f>
        <v>3.648000000000001</v>
      </c>
      <c r="U39" s="48">
        <f>IF(Assumptions!$B$7="Contracted",MAX(Price_floor,Compute_P0*(1-Price_decline)^(Assumptions!$G$23+MAX(U56-1,0)*GPU_life)),MAX(Price_floor,Compute_P0*(1-Price_decline)^MAX(Assumptions!$G$23+U36-$C$20)))</f>
        <v>3.648000000000001</v>
      </c>
      <c r="V39" s="48">
        <f>IF(Assumptions!$B$7="Contracted",MAX(Price_floor,Compute_P0*(1-Price_decline)^(Assumptions!$G$23+MAX(V56-1,0)*GPU_life)),MAX(Price_floor,Compute_P0*(1-Price_decline)^MAX(Assumptions!$G$23+V36-$C$20)))</f>
        <v>3.648000000000001</v>
      </c>
      <c r="W39" s="48">
        <f>IF(Assumptions!$B$7="Contracted",MAX(Price_floor,Compute_P0*(1-Price_decline)^(Assumptions!$G$23+MAX(W56-1,0)*GPU_life)),MAX(Price_floor,Compute_P0*(1-Price_decline)^MAX(Assumptions!$G$23+W36-$C$20)))</f>
        <v>3.648000000000001</v>
      </c>
    </row>
    <row r="40" spans="1:24" ht="15" customHeight="1" x14ac:dyDescent="0.2">
      <c r="A40" s="4" t="s">
        <v>39</v>
      </c>
      <c r="B40" s="21" t="s">
        <v>6</v>
      </c>
      <c r="D40" s="54">
        <f t="shared" ref="D40:W40" si="3">$C$9*D39/Compute_P0*D38</f>
        <v>0</v>
      </c>
      <c r="E40" s="54">
        <f t="shared" si="3"/>
        <v>0</v>
      </c>
      <c r="F40" s="54">
        <f t="shared" si="3"/>
        <v>1096.7463936000001</v>
      </c>
      <c r="G40" s="54">
        <f t="shared" si="3"/>
        <v>1434.2068224000002</v>
      </c>
      <c r="H40" s="54">
        <f t="shared" si="3"/>
        <v>1687.3021440000002</v>
      </c>
      <c r="I40" s="54">
        <f t="shared" si="3"/>
        <v>1687.3021440000002</v>
      </c>
      <c r="J40" s="54">
        <f t="shared" si="3"/>
        <v>1687.3021440000002</v>
      </c>
      <c r="K40" s="54">
        <f t="shared" si="3"/>
        <v>0</v>
      </c>
      <c r="L40" s="54">
        <f t="shared" si="3"/>
        <v>0</v>
      </c>
      <c r="M40" s="54">
        <f t="shared" si="3"/>
        <v>0</v>
      </c>
      <c r="N40" s="54">
        <f t="shared" si="3"/>
        <v>0</v>
      </c>
      <c r="O40" s="54">
        <f t="shared" si="3"/>
        <v>0</v>
      </c>
      <c r="P40" s="54">
        <f t="shared" si="3"/>
        <v>0</v>
      </c>
      <c r="Q40" s="54">
        <f t="shared" si="3"/>
        <v>0</v>
      </c>
      <c r="R40" s="54">
        <f t="shared" si="3"/>
        <v>0</v>
      </c>
      <c r="S40" s="54">
        <f t="shared" si="3"/>
        <v>0</v>
      </c>
      <c r="T40" s="54">
        <f t="shared" si="3"/>
        <v>0</v>
      </c>
      <c r="U40" s="54">
        <f t="shared" si="3"/>
        <v>0</v>
      </c>
      <c r="V40" s="54">
        <f t="shared" si="3"/>
        <v>0</v>
      </c>
      <c r="W40" s="54">
        <f t="shared" si="3"/>
        <v>0</v>
      </c>
      <c r="X40" s="4">
        <f>--(SUMPRODUCT(--(D40:W40&lt;0))&gt;0)</f>
        <v>0</v>
      </c>
    </row>
    <row r="41" spans="1:24" ht="15" customHeight="1" x14ac:dyDescent="0.2">
      <c r="A41" s="4" t="s">
        <v>40</v>
      </c>
      <c r="B41" s="21" t="s">
        <v>6</v>
      </c>
      <c r="D41" s="54">
        <f t="shared" ref="D41:W41" si="4">-$C$10*D38</f>
        <v>0</v>
      </c>
      <c r="E41" s="54">
        <f t="shared" si="4"/>
        <v>0</v>
      </c>
      <c r="F41" s="54">
        <f t="shared" si="4"/>
        <v>-29.964105599999996</v>
      </c>
      <c r="G41" s="54">
        <f t="shared" si="4"/>
        <v>-39.183830399999991</v>
      </c>
      <c r="H41" s="54">
        <f t="shared" si="4"/>
        <v>-46.098623999999994</v>
      </c>
      <c r="I41" s="54">
        <f t="shared" si="4"/>
        <v>-46.098623999999994</v>
      </c>
      <c r="J41" s="54">
        <f t="shared" si="4"/>
        <v>-46.098623999999994</v>
      </c>
      <c r="K41" s="54">
        <f t="shared" si="4"/>
        <v>0</v>
      </c>
      <c r="L41" s="54">
        <f t="shared" si="4"/>
        <v>0</v>
      </c>
      <c r="M41" s="54">
        <f t="shared" si="4"/>
        <v>0</v>
      </c>
      <c r="N41" s="54">
        <f t="shared" si="4"/>
        <v>0</v>
      </c>
      <c r="O41" s="54">
        <f t="shared" si="4"/>
        <v>0</v>
      </c>
      <c r="P41" s="54">
        <f t="shared" si="4"/>
        <v>0</v>
      </c>
      <c r="Q41" s="54">
        <f t="shared" si="4"/>
        <v>0</v>
      </c>
      <c r="R41" s="54">
        <f t="shared" si="4"/>
        <v>0</v>
      </c>
      <c r="S41" s="54">
        <f t="shared" si="4"/>
        <v>0</v>
      </c>
      <c r="T41" s="54">
        <f t="shared" si="4"/>
        <v>0</v>
      </c>
      <c r="U41" s="54">
        <f t="shared" si="4"/>
        <v>0</v>
      </c>
      <c r="V41" s="54">
        <f t="shared" si="4"/>
        <v>0</v>
      </c>
      <c r="W41" s="54">
        <f t="shared" si="4"/>
        <v>0</v>
      </c>
    </row>
    <row r="42" spans="1:24" ht="15" customHeight="1" x14ac:dyDescent="0.2">
      <c r="A42" s="4" t="s">
        <v>41</v>
      </c>
      <c r="B42" s="21" t="s">
        <v>6</v>
      </c>
      <c r="D42" s="54">
        <f t="shared" ref="D42:W42" si="5">-$C$13*D37</f>
        <v>0</v>
      </c>
      <c r="E42" s="54">
        <f t="shared" si="5"/>
        <v>0</v>
      </c>
      <c r="F42" s="54">
        <f t="shared" si="5"/>
        <v>-86.47</v>
      </c>
      <c r="G42" s="54">
        <f t="shared" si="5"/>
        <v>-86.47</v>
      </c>
      <c r="H42" s="54">
        <f t="shared" si="5"/>
        <v>-86.47</v>
      </c>
      <c r="I42" s="54">
        <f t="shared" si="5"/>
        <v>-86.47</v>
      </c>
      <c r="J42" s="54">
        <f t="shared" si="5"/>
        <v>-86.47</v>
      </c>
      <c r="K42" s="54">
        <f t="shared" si="5"/>
        <v>0</v>
      </c>
      <c r="L42" s="54">
        <f t="shared" si="5"/>
        <v>0</v>
      </c>
      <c r="M42" s="54">
        <f t="shared" si="5"/>
        <v>0</v>
      </c>
      <c r="N42" s="54">
        <f t="shared" si="5"/>
        <v>0</v>
      </c>
      <c r="O42" s="54">
        <f t="shared" si="5"/>
        <v>0</v>
      </c>
      <c r="P42" s="54">
        <f t="shared" si="5"/>
        <v>0</v>
      </c>
      <c r="Q42" s="54">
        <f t="shared" si="5"/>
        <v>0</v>
      </c>
      <c r="R42" s="54">
        <f t="shared" si="5"/>
        <v>0</v>
      </c>
      <c r="S42" s="54">
        <f t="shared" si="5"/>
        <v>0</v>
      </c>
      <c r="T42" s="54">
        <f t="shared" si="5"/>
        <v>0</v>
      </c>
      <c r="U42" s="54">
        <f t="shared" si="5"/>
        <v>0</v>
      </c>
      <c r="V42" s="54">
        <f t="shared" si="5"/>
        <v>0</v>
      </c>
      <c r="W42" s="54">
        <f t="shared" si="5"/>
        <v>0</v>
      </c>
    </row>
    <row r="43" spans="1:24" ht="15" customHeight="1" x14ac:dyDescent="0.2">
      <c r="A43" s="4" t="s">
        <v>42</v>
      </c>
      <c r="B43" s="21" t="s">
        <v>6</v>
      </c>
      <c r="D43" s="54">
        <f t="shared" ref="D43:W43" si="6">D40+D41+D42</f>
        <v>0</v>
      </c>
      <c r="E43" s="54">
        <f t="shared" si="6"/>
        <v>0</v>
      </c>
      <c r="F43" s="54">
        <f t="shared" si="6"/>
        <v>980.31228800000008</v>
      </c>
      <c r="G43" s="54">
        <f t="shared" si="6"/>
        <v>1308.5529920000001</v>
      </c>
      <c r="H43" s="54">
        <f t="shared" si="6"/>
        <v>1554.7335200000002</v>
      </c>
      <c r="I43" s="54">
        <f t="shared" si="6"/>
        <v>1554.7335200000002</v>
      </c>
      <c r="J43" s="54">
        <f t="shared" si="6"/>
        <v>1554.7335200000002</v>
      </c>
      <c r="K43" s="54">
        <f t="shared" si="6"/>
        <v>0</v>
      </c>
      <c r="L43" s="54">
        <f t="shared" si="6"/>
        <v>0</v>
      </c>
      <c r="M43" s="54">
        <f t="shared" si="6"/>
        <v>0</v>
      </c>
      <c r="N43" s="54">
        <f t="shared" si="6"/>
        <v>0</v>
      </c>
      <c r="O43" s="54">
        <f t="shared" si="6"/>
        <v>0</v>
      </c>
      <c r="P43" s="54">
        <f t="shared" si="6"/>
        <v>0</v>
      </c>
      <c r="Q43" s="54">
        <f t="shared" si="6"/>
        <v>0</v>
      </c>
      <c r="R43" s="54">
        <f t="shared" si="6"/>
        <v>0</v>
      </c>
      <c r="S43" s="54">
        <f t="shared" si="6"/>
        <v>0</v>
      </c>
      <c r="T43" s="54">
        <f t="shared" si="6"/>
        <v>0</v>
      </c>
      <c r="U43" s="54">
        <f t="shared" si="6"/>
        <v>0</v>
      </c>
      <c r="V43" s="54">
        <f t="shared" si="6"/>
        <v>0</v>
      </c>
      <c r="W43" s="54">
        <f t="shared" si="6"/>
        <v>0</v>
      </c>
    </row>
    <row r="44" spans="1:24" ht="15" customHeight="1" x14ac:dyDescent="0.2">
      <c r="A44" s="4" t="s">
        <v>43</v>
      </c>
      <c r="B44" s="21" t="s">
        <v>6</v>
      </c>
      <c r="D44" s="54">
        <f t="shared" ref="D44:W44" si="7">-($C$7*$C$15+$C$6/GPU_life)*D37</f>
        <v>0</v>
      </c>
      <c r="E44" s="54">
        <f t="shared" si="7"/>
        <v>0</v>
      </c>
      <c r="F44" s="54">
        <f t="shared" si="7"/>
        <v>-615.07000000000005</v>
      </c>
      <c r="G44" s="54">
        <f t="shared" si="7"/>
        <v>-615.07000000000005</v>
      </c>
      <c r="H44" s="54">
        <f t="shared" si="7"/>
        <v>-615.07000000000005</v>
      </c>
      <c r="I44" s="54">
        <f t="shared" si="7"/>
        <v>-615.07000000000005</v>
      </c>
      <c r="J44" s="54">
        <f t="shared" si="7"/>
        <v>-615.07000000000005</v>
      </c>
      <c r="K44" s="54">
        <f t="shared" si="7"/>
        <v>0</v>
      </c>
      <c r="L44" s="54">
        <f t="shared" si="7"/>
        <v>0</v>
      </c>
      <c r="M44" s="54">
        <f t="shared" si="7"/>
        <v>0</v>
      </c>
      <c r="N44" s="54">
        <f t="shared" si="7"/>
        <v>0</v>
      </c>
      <c r="O44" s="54">
        <f t="shared" si="7"/>
        <v>0</v>
      </c>
      <c r="P44" s="54">
        <f t="shared" si="7"/>
        <v>0</v>
      </c>
      <c r="Q44" s="54">
        <f t="shared" si="7"/>
        <v>0</v>
      </c>
      <c r="R44" s="54">
        <f t="shared" si="7"/>
        <v>0</v>
      </c>
      <c r="S44" s="54">
        <f t="shared" si="7"/>
        <v>0</v>
      </c>
      <c r="T44" s="54">
        <f t="shared" si="7"/>
        <v>0</v>
      </c>
      <c r="U44" s="54">
        <f t="shared" si="7"/>
        <v>0</v>
      </c>
      <c r="V44" s="54">
        <f t="shared" si="7"/>
        <v>0</v>
      </c>
      <c r="W44" s="54">
        <f t="shared" si="7"/>
        <v>0</v>
      </c>
    </row>
    <row r="45" spans="1:24" ht="15" customHeight="1" x14ac:dyDescent="0.2">
      <c r="A45" s="4" t="s">
        <v>44</v>
      </c>
      <c r="B45" s="21" t="s">
        <v>6</v>
      </c>
      <c r="D45" s="54">
        <f t="shared" ref="D45:W45" si="8">D43+D44</f>
        <v>0</v>
      </c>
      <c r="E45" s="54">
        <f t="shared" si="8"/>
        <v>0</v>
      </c>
      <c r="F45" s="54">
        <f t="shared" si="8"/>
        <v>365.24228800000003</v>
      </c>
      <c r="G45" s="54">
        <f t="shared" si="8"/>
        <v>693.48299200000008</v>
      </c>
      <c r="H45" s="54">
        <f t="shared" si="8"/>
        <v>939.66352000000018</v>
      </c>
      <c r="I45" s="54">
        <f t="shared" si="8"/>
        <v>939.66352000000018</v>
      </c>
      <c r="J45" s="54">
        <f t="shared" si="8"/>
        <v>939.66352000000018</v>
      </c>
      <c r="K45" s="54">
        <f t="shared" si="8"/>
        <v>0</v>
      </c>
      <c r="L45" s="54">
        <f t="shared" si="8"/>
        <v>0</v>
      </c>
      <c r="M45" s="54">
        <f t="shared" si="8"/>
        <v>0</v>
      </c>
      <c r="N45" s="54">
        <f t="shared" si="8"/>
        <v>0</v>
      </c>
      <c r="O45" s="54">
        <f t="shared" si="8"/>
        <v>0</v>
      </c>
      <c r="P45" s="54">
        <f t="shared" si="8"/>
        <v>0</v>
      </c>
      <c r="Q45" s="54">
        <f t="shared" si="8"/>
        <v>0</v>
      </c>
      <c r="R45" s="54">
        <f t="shared" si="8"/>
        <v>0</v>
      </c>
      <c r="S45" s="54">
        <f t="shared" si="8"/>
        <v>0</v>
      </c>
      <c r="T45" s="54">
        <f t="shared" si="8"/>
        <v>0</v>
      </c>
      <c r="U45" s="54">
        <f t="shared" si="8"/>
        <v>0</v>
      </c>
      <c r="V45" s="54">
        <f t="shared" si="8"/>
        <v>0</v>
      </c>
      <c r="W45" s="54">
        <f t="shared" si="8"/>
        <v>0</v>
      </c>
    </row>
    <row r="46" spans="1:24" ht="15" customHeight="1" x14ac:dyDescent="0.2">
      <c r="A46" s="4" t="s">
        <v>45</v>
      </c>
      <c r="B46" s="21" t="s">
        <v>6</v>
      </c>
      <c r="D46" s="54">
        <f>-Assumptions!$G$26*MAX(D45,0)</f>
        <v>0</v>
      </c>
      <c r="E46" s="54">
        <f>-Assumptions!$G$26*MAX(E45,0)</f>
        <v>0</v>
      </c>
      <c r="F46" s="54">
        <f>-Assumptions!$G$26*MAX(F45,0)</f>
        <v>-80.353303360000012</v>
      </c>
      <c r="G46" s="54">
        <f>-Assumptions!$G$26*MAX(G45,0)</f>
        <v>-152.56625824000002</v>
      </c>
      <c r="H46" s="54">
        <f>-Assumptions!$G$26*MAX(H45,0)</f>
        <v>-206.72597440000004</v>
      </c>
      <c r="I46" s="54">
        <f>-Assumptions!$G$26*MAX(I45,0)</f>
        <v>-206.72597440000004</v>
      </c>
      <c r="J46" s="54">
        <f>-Assumptions!$G$26*MAX(J45,0)</f>
        <v>-206.72597440000004</v>
      </c>
      <c r="K46" s="54">
        <f>-Assumptions!$G$26*MAX(K45,0)</f>
        <v>0</v>
      </c>
      <c r="L46" s="54">
        <f>-Assumptions!$G$26*MAX(L45,0)</f>
        <v>0</v>
      </c>
      <c r="M46" s="54">
        <f>-Assumptions!$G$26*MAX(M45,0)</f>
        <v>0</v>
      </c>
      <c r="N46" s="54">
        <f>-Assumptions!$G$26*MAX(N45,0)</f>
        <v>0</v>
      </c>
      <c r="O46" s="54">
        <f>-Assumptions!$G$26*MAX(O45,0)</f>
        <v>0</v>
      </c>
      <c r="P46" s="54">
        <f>-Assumptions!$G$26*MAX(P45,0)</f>
        <v>0</v>
      </c>
      <c r="Q46" s="54">
        <f>-Assumptions!$G$26*MAX(Q45,0)</f>
        <v>0</v>
      </c>
      <c r="R46" s="54">
        <f>-Assumptions!$G$26*MAX(R45,0)</f>
        <v>0</v>
      </c>
      <c r="S46" s="54">
        <f>-Assumptions!$G$26*MAX(S45,0)</f>
        <v>0</v>
      </c>
      <c r="T46" s="54">
        <f>-Assumptions!$G$26*MAX(T45,0)</f>
        <v>0</v>
      </c>
      <c r="U46" s="54">
        <f>-Assumptions!$G$26*MAX(U45,0)</f>
        <v>0</v>
      </c>
      <c r="V46" s="54">
        <f>-Assumptions!$G$26*MAX(V45,0)</f>
        <v>0</v>
      </c>
      <c r="W46" s="54">
        <f>-Assumptions!$G$26*MAX(W45,0)</f>
        <v>0</v>
      </c>
    </row>
    <row r="47" spans="1:24" ht="15" customHeight="1" x14ac:dyDescent="0.2">
      <c r="A47" s="4" t="s">
        <v>46</v>
      </c>
      <c r="B47" s="21" t="s">
        <v>6</v>
      </c>
      <c r="D47" s="54">
        <f t="shared" ref="D47:W47" si="9">D43+D46</f>
        <v>0</v>
      </c>
      <c r="E47" s="54">
        <f t="shared" si="9"/>
        <v>0</v>
      </c>
      <c r="F47" s="54">
        <f t="shared" si="9"/>
        <v>899.95898464000004</v>
      </c>
      <c r="G47" s="54">
        <f t="shared" si="9"/>
        <v>1155.9867337600001</v>
      </c>
      <c r="H47" s="54">
        <f t="shared" si="9"/>
        <v>1348.0075456000002</v>
      </c>
      <c r="I47" s="54">
        <f t="shared" si="9"/>
        <v>1348.0075456000002</v>
      </c>
      <c r="J47" s="54">
        <f t="shared" si="9"/>
        <v>1348.0075456000002</v>
      </c>
      <c r="K47" s="54">
        <f t="shared" si="9"/>
        <v>0</v>
      </c>
      <c r="L47" s="54">
        <f t="shared" si="9"/>
        <v>0</v>
      </c>
      <c r="M47" s="54">
        <f t="shared" si="9"/>
        <v>0</v>
      </c>
      <c r="N47" s="54">
        <f t="shared" si="9"/>
        <v>0</v>
      </c>
      <c r="O47" s="54">
        <f t="shared" si="9"/>
        <v>0</v>
      </c>
      <c r="P47" s="54">
        <f t="shared" si="9"/>
        <v>0</v>
      </c>
      <c r="Q47" s="54">
        <f t="shared" si="9"/>
        <v>0</v>
      </c>
      <c r="R47" s="54">
        <f t="shared" si="9"/>
        <v>0</v>
      </c>
      <c r="S47" s="54">
        <f t="shared" si="9"/>
        <v>0</v>
      </c>
      <c r="T47" s="54">
        <f t="shared" si="9"/>
        <v>0</v>
      </c>
      <c r="U47" s="54">
        <f t="shared" si="9"/>
        <v>0</v>
      </c>
      <c r="V47" s="54">
        <f t="shared" si="9"/>
        <v>0</v>
      </c>
      <c r="W47" s="54">
        <f t="shared" si="9"/>
        <v>0</v>
      </c>
    </row>
    <row r="48" spans="1:24" ht="15" customHeight="1" x14ac:dyDescent="0.2">
      <c r="A48" s="4" t="s">
        <v>47</v>
      </c>
      <c r="B48" s="21" t="s">
        <v>6</v>
      </c>
      <c r="D48" s="54">
        <f>-$C$7*'Buildout Schedule'!D16</f>
        <v>-870</v>
      </c>
      <c r="E48" s="54">
        <f>-$C$7*'Buildout Schedule'!E16</f>
        <v>-870</v>
      </c>
      <c r="F48" s="54">
        <f>-$C$7*'Buildout Schedule'!F16</f>
        <v>0</v>
      </c>
      <c r="G48" s="54">
        <f>-$C$7*'Buildout Schedule'!G16</f>
        <v>0</v>
      </c>
      <c r="H48" s="54">
        <f>-$C$7*'Buildout Schedule'!H16</f>
        <v>0</v>
      </c>
      <c r="I48" s="54">
        <f>-$C$7*'Buildout Schedule'!I16</f>
        <v>0</v>
      </c>
      <c r="J48" s="54">
        <f>-$C$7*'Buildout Schedule'!J16</f>
        <v>0</v>
      </c>
      <c r="K48" s="54">
        <f>-$C$7*'Buildout Schedule'!K16</f>
        <v>0</v>
      </c>
      <c r="L48" s="54">
        <f>-$C$7*'Buildout Schedule'!L16</f>
        <v>0</v>
      </c>
      <c r="M48" s="54">
        <f>-$C$7*'Buildout Schedule'!M16</f>
        <v>0</v>
      </c>
      <c r="N48" s="54">
        <f>-$C$7*'Buildout Schedule'!N16</f>
        <v>0</v>
      </c>
      <c r="O48" s="54">
        <f>-$C$7*'Buildout Schedule'!O16</f>
        <v>0</v>
      </c>
      <c r="P48" s="54">
        <f>-$C$7*'Buildout Schedule'!P16</f>
        <v>0</v>
      </c>
      <c r="Q48" s="54">
        <f>-$C$7*'Buildout Schedule'!Q16</f>
        <v>0</v>
      </c>
      <c r="R48" s="54">
        <f>-$C$7*'Buildout Schedule'!R16</f>
        <v>0</v>
      </c>
      <c r="S48" s="54">
        <f>-$C$7*'Buildout Schedule'!S16</f>
        <v>0</v>
      </c>
      <c r="T48" s="54">
        <f>-$C$7*'Buildout Schedule'!T16</f>
        <v>0</v>
      </c>
      <c r="U48" s="54">
        <f>-$C$7*'Buildout Schedule'!U16</f>
        <v>0</v>
      </c>
      <c r="V48" s="54">
        <f>-$C$7*'Buildout Schedule'!V16</f>
        <v>0</v>
      </c>
      <c r="W48" s="54">
        <f>-$C$7*'Buildout Schedule'!W16</f>
        <v>0</v>
      </c>
    </row>
    <row r="49" spans="1:24" ht="15" customHeight="1" x14ac:dyDescent="0.2">
      <c r="A49" s="4" t="s">
        <v>48</v>
      </c>
      <c r="B49" s="21" t="s">
        <v>6</v>
      </c>
      <c r="D49" s="54">
        <f>-$C$7*Assumptions!$F$38*IF(AND(D36&gt;=1,D36&lt;=$C$20),1,0)</f>
        <v>0</v>
      </c>
      <c r="E49" s="54">
        <f>-$C$7*Assumptions!$F$38*IF(AND(E36&gt;=1,E36&lt;=$C$20),1,0)</f>
        <v>-26.099999999999998</v>
      </c>
      <c r="F49" s="54">
        <f>-$C$7*Assumptions!$F$38*IF(AND(F36&gt;=1,F36&lt;=$C$20),1,0)</f>
        <v>-26.099999999999998</v>
      </c>
      <c r="G49" s="54">
        <f>-$C$7*Assumptions!$F$38*IF(AND(G36&gt;=1,G36&lt;=$C$20),1,0)</f>
        <v>0</v>
      </c>
      <c r="H49" s="54">
        <f>-$C$7*Assumptions!$F$38*IF(AND(H36&gt;=1,H36&lt;=$C$20),1,0)</f>
        <v>0</v>
      </c>
      <c r="I49" s="54">
        <f>-$C$7*Assumptions!$F$38*IF(AND(I36&gt;=1,I36&lt;=$C$20),1,0)</f>
        <v>0</v>
      </c>
      <c r="J49" s="54">
        <f>-$C$7*Assumptions!$F$38*IF(AND(J36&gt;=1,J36&lt;=$C$20),1,0)</f>
        <v>0</v>
      </c>
      <c r="K49" s="54">
        <f>-$C$7*Assumptions!$F$38*IF(AND(K36&gt;=1,K36&lt;=$C$20),1,0)</f>
        <v>0</v>
      </c>
      <c r="L49" s="54">
        <f>-$C$7*Assumptions!$F$38*IF(AND(L36&gt;=1,L36&lt;=$C$20),1,0)</f>
        <v>0</v>
      </c>
      <c r="M49" s="54">
        <f>-$C$7*Assumptions!$F$38*IF(AND(M36&gt;=1,M36&lt;=$C$20),1,0)</f>
        <v>0</v>
      </c>
      <c r="N49" s="54">
        <f>-$C$7*Assumptions!$F$38*IF(AND(N36&gt;=1,N36&lt;=$C$20),1,0)</f>
        <v>0</v>
      </c>
      <c r="O49" s="54">
        <f>-$C$7*Assumptions!$F$38*IF(AND(O36&gt;=1,O36&lt;=$C$20),1,0)</f>
        <v>0</v>
      </c>
      <c r="P49" s="54">
        <f>-$C$7*Assumptions!$F$38*IF(AND(P36&gt;=1,P36&lt;=$C$20),1,0)</f>
        <v>0</v>
      </c>
      <c r="Q49" s="54">
        <f>-$C$7*Assumptions!$F$38*IF(AND(Q36&gt;=1,Q36&lt;=$C$20),1,0)</f>
        <v>0</v>
      </c>
      <c r="R49" s="54">
        <f>-$C$7*Assumptions!$F$38*IF(AND(R36&gt;=1,R36&lt;=$C$20),1,0)</f>
        <v>0</v>
      </c>
      <c r="S49" s="54">
        <f>-$C$7*Assumptions!$F$38*IF(AND(S36&gt;=1,S36&lt;=$C$20),1,0)</f>
        <v>0</v>
      </c>
      <c r="T49" s="54">
        <f>-$C$7*Assumptions!$F$38*IF(AND(T36&gt;=1,T36&lt;=$C$20),1,0)</f>
        <v>0</v>
      </c>
      <c r="U49" s="54">
        <f>-$C$7*Assumptions!$F$38*IF(AND(U36&gt;=1,U36&lt;=$C$20),1,0)</f>
        <v>0</v>
      </c>
      <c r="V49" s="54">
        <f>-$C$7*Assumptions!$F$38*IF(AND(V36&gt;=1,V36&lt;=$C$20),1,0)</f>
        <v>0</v>
      </c>
      <c r="W49" s="54">
        <f>-$C$7*Assumptions!$F$38*IF(AND(W36&gt;=1,W36&lt;=$C$20),1,0)</f>
        <v>0</v>
      </c>
    </row>
    <row r="50" spans="1:24" ht="15" customHeight="1" x14ac:dyDescent="0.2">
      <c r="A50" s="4" t="s">
        <v>49</v>
      </c>
      <c r="B50" s="21" t="s">
        <v>6</v>
      </c>
      <c r="D50" s="54">
        <f t="shared" ref="D50:W50" si="10">-$C$6*(D36=$C$20)</f>
        <v>0</v>
      </c>
      <c r="E50" s="54">
        <f t="shared" si="10"/>
        <v>0</v>
      </c>
      <c r="F50" s="54">
        <f t="shared" si="10"/>
        <v>-2520</v>
      </c>
      <c r="G50" s="54">
        <f t="shared" si="10"/>
        <v>0</v>
      </c>
      <c r="H50" s="54">
        <f t="shared" si="10"/>
        <v>0</v>
      </c>
      <c r="I50" s="54">
        <f t="shared" si="10"/>
        <v>0</v>
      </c>
      <c r="J50" s="54">
        <f t="shared" si="10"/>
        <v>0</v>
      </c>
      <c r="K50" s="54">
        <f t="shared" si="10"/>
        <v>0</v>
      </c>
      <c r="L50" s="54">
        <f t="shared" si="10"/>
        <v>0</v>
      </c>
      <c r="M50" s="54">
        <f t="shared" si="10"/>
        <v>0</v>
      </c>
      <c r="N50" s="54">
        <f t="shared" si="10"/>
        <v>0</v>
      </c>
      <c r="O50" s="54">
        <f t="shared" si="10"/>
        <v>0</v>
      </c>
      <c r="P50" s="54">
        <f t="shared" si="10"/>
        <v>0</v>
      </c>
      <c r="Q50" s="54">
        <f t="shared" si="10"/>
        <v>0</v>
      </c>
      <c r="R50" s="54">
        <f t="shared" si="10"/>
        <v>0</v>
      </c>
      <c r="S50" s="54">
        <f t="shared" si="10"/>
        <v>0</v>
      </c>
      <c r="T50" s="54">
        <f t="shared" si="10"/>
        <v>0</v>
      </c>
      <c r="U50" s="54">
        <f t="shared" si="10"/>
        <v>0</v>
      </c>
      <c r="V50" s="54">
        <f t="shared" si="10"/>
        <v>0</v>
      </c>
      <c r="W50" s="54">
        <f t="shared" si="10"/>
        <v>0</v>
      </c>
    </row>
    <row r="51" spans="1:24" ht="15" customHeight="1" x14ac:dyDescent="0.2">
      <c r="A51" s="4" t="s">
        <v>50</v>
      </c>
      <c r="B51" s="21" t="s">
        <v>6</v>
      </c>
      <c r="D51" s="54">
        <f>($C$7*Facility_salvage_pct+$C$6*GPU_salvage_pct*(1-Assumptions!$G$26))*(D36=$C$20+GPU_life-1)</f>
        <v>0</v>
      </c>
      <c r="E51" s="54">
        <f>($C$7*Facility_salvage_pct+$C$6*GPU_salvage_pct*(1-Assumptions!$G$26))*(E36=$C$20+GPU_life-1)</f>
        <v>0</v>
      </c>
      <c r="F51" s="54">
        <f>($C$7*Facility_salvage_pct+$C$6*GPU_salvage_pct*(1-Assumptions!$G$26))*(F36=$C$20+GPU_life-1)</f>
        <v>0</v>
      </c>
      <c r="G51" s="54">
        <f>($C$7*Facility_salvage_pct+$C$6*GPU_salvage_pct*(1-Assumptions!$G$26))*(G36=$C$20+GPU_life-1)</f>
        <v>0</v>
      </c>
      <c r="H51" s="54">
        <f>($C$7*Facility_salvage_pct+$C$6*GPU_salvage_pct*(1-Assumptions!$G$26))*(H36=$C$20+GPU_life-1)</f>
        <v>0</v>
      </c>
      <c r="I51" s="54">
        <f>($C$7*Facility_salvage_pct+$C$6*GPU_salvage_pct*(1-Assumptions!$G$26))*(I36=$C$20+GPU_life-1)</f>
        <v>0</v>
      </c>
      <c r="J51" s="54">
        <f>($C$7*Facility_salvage_pct+$C$6*GPU_salvage_pct*(1-Assumptions!$G$26))*(J36=$C$20+GPU_life-1)</f>
        <v>979.56</v>
      </c>
      <c r="K51" s="54">
        <f>($C$7*Facility_salvage_pct+$C$6*GPU_salvage_pct*(1-Assumptions!$G$26))*(K36=$C$20+GPU_life-1)</f>
        <v>0</v>
      </c>
      <c r="L51" s="54">
        <f>($C$7*Facility_salvage_pct+$C$6*GPU_salvage_pct*(1-Assumptions!$G$26))*(L36=$C$20+GPU_life-1)</f>
        <v>0</v>
      </c>
      <c r="M51" s="54">
        <f>($C$7*Facility_salvage_pct+$C$6*GPU_salvage_pct*(1-Assumptions!$G$26))*(M36=$C$20+GPU_life-1)</f>
        <v>0</v>
      </c>
      <c r="N51" s="54">
        <f>($C$7*Facility_salvage_pct+$C$6*GPU_salvage_pct*(1-Assumptions!$G$26))*(N36=$C$20+GPU_life-1)</f>
        <v>0</v>
      </c>
      <c r="O51" s="54">
        <f>($C$7*Facility_salvage_pct+$C$6*GPU_salvage_pct*(1-Assumptions!$G$26))*(O36=$C$20+GPU_life-1)</f>
        <v>0</v>
      </c>
      <c r="P51" s="54">
        <f>($C$7*Facility_salvage_pct+$C$6*GPU_salvage_pct*(1-Assumptions!$G$26))*(P36=$C$20+GPU_life-1)</f>
        <v>0</v>
      </c>
      <c r="Q51" s="54">
        <f>($C$7*Facility_salvage_pct+$C$6*GPU_salvage_pct*(1-Assumptions!$G$26))*(Q36=$C$20+GPU_life-1)</f>
        <v>0</v>
      </c>
      <c r="R51" s="54">
        <f>($C$7*Facility_salvage_pct+$C$6*GPU_salvage_pct*(1-Assumptions!$G$26))*(R36=$C$20+GPU_life-1)</f>
        <v>0</v>
      </c>
      <c r="S51" s="54">
        <f>($C$7*Facility_salvage_pct+$C$6*GPU_salvage_pct*(1-Assumptions!$G$26))*(S36=$C$20+GPU_life-1)</f>
        <v>0</v>
      </c>
      <c r="T51" s="54">
        <f>($C$7*Facility_salvage_pct+$C$6*GPU_salvage_pct*(1-Assumptions!$G$26))*(T36=$C$20+GPU_life-1)</f>
        <v>0</v>
      </c>
      <c r="U51" s="54">
        <f>($C$7*Facility_salvage_pct+$C$6*GPU_salvage_pct*(1-Assumptions!$G$26))*(U36=$C$20+GPU_life-1)</f>
        <v>0</v>
      </c>
      <c r="V51" s="54">
        <f>($C$7*Facility_salvage_pct+$C$6*GPU_salvage_pct*(1-Assumptions!$G$26))*(V36=$C$20+GPU_life-1)</f>
        <v>0</v>
      </c>
      <c r="W51" s="54">
        <f>($C$7*Facility_salvage_pct+$C$6*GPU_salvage_pct*(1-Assumptions!$G$26))*(W36=$C$20+GPU_life-1)</f>
        <v>0</v>
      </c>
    </row>
    <row r="52" spans="1:24" ht="15" customHeight="1" x14ac:dyDescent="0.2">
      <c r="A52" s="4" t="s">
        <v>51</v>
      </c>
      <c r="B52" s="21" t="s">
        <v>6</v>
      </c>
      <c r="D52" s="54">
        <f t="shared" ref="D52:W52" si="11">D47+D48+D49+D50+D51</f>
        <v>-870</v>
      </c>
      <c r="E52" s="54">
        <f t="shared" si="11"/>
        <v>-896.1</v>
      </c>
      <c r="F52" s="54">
        <f t="shared" si="11"/>
        <v>-1646.14101536</v>
      </c>
      <c r="G52" s="54">
        <f t="shared" si="11"/>
        <v>1155.9867337600001</v>
      </c>
      <c r="H52" s="54">
        <f t="shared" si="11"/>
        <v>1348.0075456000002</v>
      </c>
      <c r="I52" s="54">
        <f t="shared" si="11"/>
        <v>1348.0075456000002</v>
      </c>
      <c r="J52" s="54">
        <f t="shared" si="11"/>
        <v>2327.5675455999999</v>
      </c>
      <c r="K52" s="54">
        <f t="shared" si="11"/>
        <v>0</v>
      </c>
      <c r="L52" s="54">
        <f t="shared" si="11"/>
        <v>0</v>
      </c>
      <c r="M52" s="54">
        <f t="shared" si="11"/>
        <v>0</v>
      </c>
      <c r="N52" s="54">
        <f t="shared" si="11"/>
        <v>0</v>
      </c>
      <c r="O52" s="54">
        <f t="shared" si="11"/>
        <v>0</v>
      </c>
      <c r="P52" s="54">
        <f t="shared" si="11"/>
        <v>0</v>
      </c>
      <c r="Q52" s="54">
        <f t="shared" si="11"/>
        <v>0</v>
      </c>
      <c r="R52" s="54">
        <f t="shared" si="11"/>
        <v>0</v>
      </c>
      <c r="S52" s="54">
        <f t="shared" si="11"/>
        <v>0</v>
      </c>
      <c r="T52" s="54">
        <f t="shared" si="11"/>
        <v>0</v>
      </c>
      <c r="U52" s="54">
        <f t="shared" si="11"/>
        <v>0</v>
      </c>
      <c r="V52" s="54">
        <f t="shared" si="11"/>
        <v>0</v>
      </c>
      <c r="W52" s="54">
        <f t="shared" si="11"/>
        <v>0</v>
      </c>
    </row>
    <row r="53" spans="1:24" ht="15" customHeight="1" x14ac:dyDescent="0.2">
      <c r="A53" s="4" t="s">
        <v>52</v>
      </c>
      <c r="B53" s="21" t="s">
        <v>17</v>
      </c>
      <c r="D53" s="28">
        <f t="shared" ref="D53:W53" si="12">$C$21^D36</f>
        <v>1</v>
      </c>
      <c r="E53" s="28">
        <f t="shared" si="12"/>
        <v>0.94037991348504801</v>
      </c>
      <c r="F53" s="28">
        <f t="shared" si="12"/>
        <v>0.8843143816861464</v>
      </c>
      <c r="G53" s="28">
        <f t="shared" si="12"/>
        <v>0.83159148174360209</v>
      </c>
      <c r="H53" s="28">
        <f t="shared" si="12"/>
        <v>0.78201192565695143</v>
      </c>
      <c r="I53" s="28">
        <f t="shared" si="12"/>
        <v>0.73538830699355984</v>
      </c>
      <c r="J53" s="28">
        <f t="shared" si="12"/>
        <v>0.69154439250851973</v>
      </c>
      <c r="K53" s="28">
        <f t="shared" si="12"/>
        <v>0.65031445599823179</v>
      </c>
      <c r="L53" s="28">
        <f t="shared" si="12"/>
        <v>0.61154265186969337</v>
      </c>
      <c r="M53" s="28">
        <f t="shared" si="12"/>
        <v>0.57508242605763904</v>
      </c>
      <c r="N53" s="28">
        <f t="shared" si="12"/>
        <v>0.54079596206285419</v>
      </c>
      <c r="O53" s="28">
        <f t="shared" si="12"/>
        <v>0.50855366001773017</v>
      </c>
      <c r="P53" s="28">
        <f t="shared" si="12"/>
        <v>0.4782336468099776</v>
      </c>
      <c r="Q53" s="28">
        <f t="shared" si="12"/>
        <v>0.44972131541280574</v>
      </c>
      <c r="R53" s="28">
        <f t="shared" si="12"/>
        <v>0.42290889168027629</v>
      </c>
      <c r="S53" s="28">
        <f t="shared" si="12"/>
        <v>0.39769502697035569</v>
      </c>
      <c r="T53" s="28">
        <f t="shared" si="12"/>
        <v>0.37398441505581698</v>
      </c>
      <c r="U53" s="28">
        <f t="shared" si="12"/>
        <v>0.35168743187494544</v>
      </c>
      <c r="V53" s="28">
        <f t="shared" si="12"/>
        <v>0.33071979676033991</v>
      </c>
      <c r="W53" s="28">
        <f t="shared" si="12"/>
        <v>0.31100225386528113</v>
      </c>
      <c r="X53" s="4">
        <f>--(D53&lt;&gt;1)</f>
        <v>0</v>
      </c>
    </row>
    <row r="54" spans="1:24" ht="15" customHeight="1" x14ac:dyDescent="0.2">
      <c r="A54" s="4" t="s">
        <v>53</v>
      </c>
      <c r="B54" s="21" t="s">
        <v>6</v>
      </c>
      <c r="D54" s="54">
        <f t="shared" ref="D54:W54" si="13">D52*D53</f>
        <v>-870</v>
      </c>
      <c r="E54" s="54">
        <f t="shared" si="13"/>
        <v>-842.67444047395156</v>
      </c>
      <c r="F54" s="54">
        <f t="shared" si="13"/>
        <v>-1455.7061741662835</v>
      </c>
      <c r="G54" s="54">
        <f t="shared" si="13"/>
        <v>961.30872080342533</v>
      </c>
      <c r="H54" s="54">
        <f t="shared" si="13"/>
        <v>1054.1579765347569</v>
      </c>
      <c r="I54" s="54">
        <f t="shared" si="13"/>
        <v>991.308986773328</v>
      </c>
      <c r="J54" s="54">
        <f t="shared" si="13"/>
        <v>1609.6162843444981</v>
      </c>
      <c r="K54" s="54">
        <f t="shared" si="13"/>
        <v>0</v>
      </c>
      <c r="L54" s="54">
        <f t="shared" si="13"/>
        <v>0</v>
      </c>
      <c r="M54" s="54">
        <f t="shared" si="13"/>
        <v>0</v>
      </c>
      <c r="N54" s="54">
        <f t="shared" si="13"/>
        <v>0</v>
      </c>
      <c r="O54" s="54">
        <f t="shared" si="13"/>
        <v>0</v>
      </c>
      <c r="P54" s="54">
        <f t="shared" si="13"/>
        <v>0</v>
      </c>
      <c r="Q54" s="54">
        <f t="shared" si="13"/>
        <v>0</v>
      </c>
      <c r="R54" s="54">
        <f t="shared" si="13"/>
        <v>0</v>
      </c>
      <c r="S54" s="54">
        <f t="shared" si="13"/>
        <v>0</v>
      </c>
      <c r="T54" s="54">
        <f t="shared" si="13"/>
        <v>0</v>
      </c>
      <c r="U54" s="54">
        <f t="shared" si="13"/>
        <v>0</v>
      </c>
      <c r="V54" s="54">
        <f t="shared" si="13"/>
        <v>0</v>
      </c>
      <c r="W54" s="54">
        <f t="shared" si="13"/>
        <v>0</v>
      </c>
    </row>
    <row r="55" spans="1:24" ht="15" customHeight="1" x14ac:dyDescent="0.2">
      <c r="A55" s="4" t="s">
        <v>54</v>
      </c>
      <c r="B55" s="21" t="s">
        <v>6</v>
      </c>
      <c r="D55" s="54">
        <f>D52</f>
        <v>-870</v>
      </c>
      <c r="E55" s="54">
        <f t="shared" ref="E55:W55" si="14">D55+E52</f>
        <v>-1766.1</v>
      </c>
      <c r="F55" s="54">
        <f t="shared" si="14"/>
        <v>-3412.2410153599999</v>
      </c>
      <c r="G55" s="54">
        <f t="shared" si="14"/>
        <v>-2256.2542815999996</v>
      </c>
      <c r="H55" s="54">
        <f t="shared" si="14"/>
        <v>-908.24673599999937</v>
      </c>
      <c r="I55" s="54">
        <f t="shared" si="14"/>
        <v>439.76080960000081</v>
      </c>
      <c r="J55" s="54">
        <f t="shared" si="14"/>
        <v>2767.3283552000007</v>
      </c>
      <c r="K55" s="54">
        <f t="shared" si="14"/>
        <v>2767.3283552000007</v>
      </c>
      <c r="L55" s="54">
        <f t="shared" si="14"/>
        <v>2767.3283552000007</v>
      </c>
      <c r="M55" s="54">
        <f t="shared" si="14"/>
        <v>2767.3283552000007</v>
      </c>
      <c r="N55" s="54">
        <f t="shared" si="14"/>
        <v>2767.3283552000007</v>
      </c>
      <c r="O55" s="54">
        <f t="shared" si="14"/>
        <v>2767.3283552000007</v>
      </c>
      <c r="P55" s="54">
        <f t="shared" si="14"/>
        <v>2767.3283552000007</v>
      </c>
      <c r="Q55" s="54">
        <f t="shared" si="14"/>
        <v>2767.3283552000007</v>
      </c>
      <c r="R55" s="54">
        <f t="shared" si="14"/>
        <v>2767.3283552000007</v>
      </c>
      <c r="S55" s="54">
        <f t="shared" si="14"/>
        <v>2767.3283552000007</v>
      </c>
      <c r="T55" s="54">
        <f t="shared" si="14"/>
        <v>2767.3283552000007</v>
      </c>
      <c r="U55" s="54">
        <f t="shared" si="14"/>
        <v>2767.3283552000007</v>
      </c>
      <c r="V55" s="54">
        <f t="shared" si="14"/>
        <v>2767.3283552000007</v>
      </c>
      <c r="W55" s="54">
        <f t="shared" si="14"/>
        <v>2767.3283552000007</v>
      </c>
    </row>
    <row r="56" spans="1:24" ht="15" customHeight="1" x14ac:dyDescent="0.2">
      <c r="A56" s="4" t="s">
        <v>55</v>
      </c>
      <c r="D56" s="4">
        <f t="shared" ref="D56:W56" si="15">IF(D36&lt;$C$20,0,IF(D36&lt;=$C$20+GPU_life-1,1,0))</f>
        <v>0</v>
      </c>
      <c r="E56" s="4">
        <f t="shared" si="15"/>
        <v>0</v>
      </c>
      <c r="F56" s="4">
        <f t="shared" si="15"/>
        <v>1</v>
      </c>
      <c r="G56" s="4">
        <f t="shared" si="15"/>
        <v>1</v>
      </c>
      <c r="H56" s="4">
        <f t="shared" si="15"/>
        <v>1</v>
      </c>
      <c r="I56" s="4">
        <f t="shared" si="15"/>
        <v>1</v>
      </c>
      <c r="J56" s="4">
        <f t="shared" si="15"/>
        <v>1</v>
      </c>
      <c r="K56" s="4">
        <f t="shared" si="15"/>
        <v>0</v>
      </c>
      <c r="L56" s="4">
        <f t="shared" si="15"/>
        <v>0</v>
      </c>
      <c r="M56" s="4">
        <f t="shared" si="15"/>
        <v>0</v>
      </c>
      <c r="N56" s="4">
        <f t="shared" si="15"/>
        <v>0</v>
      </c>
      <c r="O56" s="4">
        <f t="shared" si="15"/>
        <v>0</v>
      </c>
      <c r="P56" s="4">
        <f t="shared" si="15"/>
        <v>0</v>
      </c>
      <c r="Q56" s="4">
        <f t="shared" si="15"/>
        <v>0</v>
      </c>
      <c r="R56" s="4">
        <f t="shared" si="15"/>
        <v>0</v>
      </c>
      <c r="S56" s="4">
        <f t="shared" si="15"/>
        <v>0</v>
      </c>
      <c r="T56" s="4">
        <f t="shared" si="15"/>
        <v>0</v>
      </c>
      <c r="U56" s="4">
        <f t="shared" si="15"/>
        <v>0</v>
      </c>
      <c r="V56" s="4">
        <f t="shared" si="15"/>
        <v>0</v>
      </c>
      <c r="W56" s="4">
        <f t="shared" si="15"/>
        <v>0</v>
      </c>
    </row>
    <row r="57" spans="1:24" ht="15" customHeight="1" x14ac:dyDescent="0.2">
      <c r="A57" s="4" t="s">
        <v>56</v>
      </c>
      <c r="C57" s="48">
        <f>SUMPRODUCT((D40:W40+D41:W41),D53:W53)*(1-Assumptions!$G$26)</f>
        <v>4468.4545235352434</v>
      </c>
    </row>
    <row r="58" spans="1:24" ht="15" customHeight="1" x14ac:dyDescent="0.2">
      <c r="A58" s="4" t="s">
        <v>57</v>
      </c>
      <c r="C58" s="2">
        <f>SUM(X37,X53,X40)</f>
        <v>0</v>
      </c>
    </row>
    <row r="60" spans="1:24" ht="15" customHeight="1" x14ac:dyDescent="0.2">
      <c r="A60" s="7" t="s">
        <v>58</v>
      </c>
    </row>
    <row r="61" spans="1:24" ht="15" customHeight="1" x14ac:dyDescent="0.2">
      <c r="A61" s="4" t="s">
        <v>59</v>
      </c>
      <c r="B61" s="21" t="s">
        <v>6</v>
      </c>
      <c r="C61" s="51">
        <f>SUM(D54:W54)</f>
        <v>1448.0113538157734</v>
      </c>
    </row>
    <row r="62" spans="1:24" ht="15" customHeight="1" x14ac:dyDescent="0.2">
      <c r="A62" s="4" t="s">
        <v>60</v>
      </c>
      <c r="B62" s="21" t="s">
        <v>61</v>
      </c>
      <c r="C62" s="55">
        <f>IFERROR(IRR(D52:W52),"n/a")</f>
        <v>0.18467512957830179</v>
      </c>
    </row>
    <row r="63" spans="1:24" ht="15" customHeight="1" x14ac:dyDescent="0.2">
      <c r="A63" s="4" t="s">
        <v>62</v>
      </c>
      <c r="B63" s="21" t="s">
        <v>23</v>
      </c>
      <c r="C63" s="56">
        <f>SUMPRODUCT(--(D55:W55&lt;0))</f>
        <v>5</v>
      </c>
    </row>
    <row r="64" spans="1:24" ht="15" customHeight="1" x14ac:dyDescent="0.2">
      <c r="A64" s="4" t="s">
        <v>63</v>
      </c>
      <c r="B64" s="21" t="s">
        <v>61</v>
      </c>
      <c r="C64" s="55">
        <f>IF(C57&lt;=0,"n/a",IF(Paid_occupancy*(1-C61/C57)&gt;1,"&gt;100% (never)",IFERROR(Paid_occupancy*(1-C61/C57),"n/a")))</f>
        <v>0.59483429345729344</v>
      </c>
    </row>
    <row r="66" spans="1:3" ht="15" customHeight="1" x14ac:dyDescent="0.2">
      <c r="A66" s="7"/>
    </row>
    <row r="67" spans="1:3" ht="15" customHeight="1" x14ac:dyDescent="0.2">
      <c r="A67" s="4"/>
      <c r="C67" s="54"/>
    </row>
    <row r="68" spans="1:3" ht="15" customHeight="1" x14ac:dyDescent="0.2">
      <c r="A68" s="4"/>
      <c r="C68" s="54"/>
    </row>
    <row r="69" spans="1:3" ht="15" customHeight="1" x14ac:dyDescent="0.2">
      <c r="A69" s="4"/>
      <c r="C69" s="28"/>
    </row>
    <row r="70" spans="1:3" ht="15" customHeight="1" x14ac:dyDescent="0.2">
      <c r="A70" s="4"/>
      <c r="C70" s="28"/>
    </row>
    <row r="71" spans="1:3" ht="15" customHeight="1" x14ac:dyDescent="0.2">
      <c r="A71" s="4"/>
      <c r="C71" s="54"/>
    </row>
    <row r="72" spans="1:3" ht="15" customHeight="1" x14ac:dyDescent="0.2">
      <c r="A72" s="4"/>
      <c r="C72" s="54"/>
    </row>
    <row r="73" spans="1:3" ht="15" customHeight="1" x14ac:dyDescent="0.2">
      <c r="A73" s="4"/>
      <c r="C73" s="54"/>
    </row>
    <row r="74" spans="1:3" ht="15" customHeight="1" x14ac:dyDescent="0.2">
      <c r="A74" s="4"/>
      <c r="C74" s="54"/>
    </row>
    <row r="75" spans="1:3" ht="15" customHeight="1" x14ac:dyDescent="0.2">
      <c r="A75" s="4"/>
      <c r="C75" s="54"/>
    </row>
    <row r="76" spans="1:3" ht="15" customHeight="1" x14ac:dyDescent="0.2">
      <c r="A76" s="4"/>
      <c r="C76" s="54"/>
    </row>
    <row r="77" spans="1:3" ht="15" customHeight="1" x14ac:dyDescent="0.2">
      <c r="A77" s="4"/>
      <c r="C77" s="30"/>
    </row>
    <row r="78" spans="1:3" ht="15" customHeight="1" x14ac:dyDescent="0.2">
      <c r="A78" s="4"/>
      <c r="C78" s="30"/>
    </row>
    <row r="79" spans="1:3" ht="15" customHeight="1" x14ac:dyDescent="0.2">
      <c r="A79" s="4"/>
      <c r="C79" s="30"/>
    </row>
    <row r="80" spans="1:3" ht="15" customHeight="1" x14ac:dyDescent="0.2">
      <c r="A80" s="4"/>
      <c r="C80" s="30"/>
    </row>
    <row r="81" spans="1:3" ht="15" customHeight="1" x14ac:dyDescent="0.2">
      <c r="A81" s="4"/>
      <c r="C81" s="54"/>
    </row>
  </sheetData>
  <sheetProtection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BF8F00"/>
  </sheetPr>
  <dimension ref="A1:W675"/>
  <sheetViews>
    <sheetView showGridLines="0" zoomScale="85" zoomScaleNormal="85" workbookViewId="0">
      <pane xSplit="3" ySplit="3" topLeftCell="D635" activePane="bottomRight" state="frozen"/>
      <selection activeCell="R16" sqref="R16"/>
      <selection pane="topRight" activeCell="R16" sqref="R16"/>
      <selection pane="bottomLeft" activeCell="R16" sqref="R16"/>
      <selection pane="bottomRight" activeCell="A2" sqref="A2"/>
    </sheetView>
  </sheetViews>
  <sheetFormatPr baseColWidth="10" defaultColWidth="8.6640625" defaultRowHeight="15" x14ac:dyDescent="0.2"/>
  <cols>
    <col min="1" max="1" width="24" customWidth="1"/>
    <col min="2" max="2" width="13" customWidth="1"/>
    <col min="3" max="3" width="12" customWidth="1"/>
    <col min="4" max="23" width="9" customWidth="1"/>
  </cols>
  <sheetData>
    <row r="1" spans="1:23" ht="17.25" customHeight="1" x14ac:dyDescent="0.2">
      <c r="A1" s="1" t="s">
        <v>2133</v>
      </c>
      <c r="C1" s="2" t="str">
        <f>IF(Checks!$C$4&gt;0,"MODEL IN ERROR","checks OK")</f>
        <v>checks OK</v>
      </c>
    </row>
    <row r="2" spans="1:23" ht="15" customHeight="1" x14ac:dyDescent="0.2">
      <c r="A2" s="5" t="s">
        <v>2134</v>
      </c>
    </row>
    <row r="3" spans="1:23" ht="15" customHeight="1" x14ac:dyDescent="0.2">
      <c r="A3" s="4" t="s">
        <v>2135</v>
      </c>
      <c r="D3" s="52">
        <v>0</v>
      </c>
      <c r="E3" s="52">
        <v>1</v>
      </c>
      <c r="F3" s="52">
        <v>2</v>
      </c>
      <c r="G3" s="52">
        <v>3</v>
      </c>
      <c r="H3" s="52">
        <v>4</v>
      </c>
      <c r="I3" s="52">
        <v>5</v>
      </c>
      <c r="J3" s="52">
        <v>6</v>
      </c>
      <c r="K3" s="52">
        <v>7</v>
      </c>
      <c r="L3" s="52">
        <v>8</v>
      </c>
      <c r="M3" s="52">
        <v>9</v>
      </c>
      <c r="N3" s="52">
        <v>10</v>
      </c>
      <c r="O3" s="52">
        <v>11</v>
      </c>
      <c r="P3" s="52">
        <v>12</v>
      </c>
      <c r="Q3" s="52">
        <v>13</v>
      </c>
      <c r="R3" s="52">
        <v>14</v>
      </c>
      <c r="S3" s="52">
        <v>15</v>
      </c>
      <c r="T3" s="52">
        <v>16</v>
      </c>
      <c r="U3" s="52">
        <v>17</v>
      </c>
      <c r="V3" s="52">
        <v>18</v>
      </c>
      <c r="W3" s="52">
        <v>19</v>
      </c>
    </row>
    <row r="5" spans="1:23" ht="15" customHeight="1" x14ac:dyDescent="0.2">
      <c r="A5" s="7" t="s">
        <v>2136</v>
      </c>
      <c r="B5" s="4" t="s">
        <v>237</v>
      </c>
    </row>
    <row r="6" spans="1:23" ht="15" customHeight="1" x14ac:dyDescent="0.2">
      <c r="A6" s="4" t="s">
        <v>2137</v>
      </c>
      <c r="C6" s="28">
        <f>ROUND($C$27,0)</f>
        <v>2</v>
      </c>
    </row>
    <row r="7" spans="1:23" ht="15" customHeight="1" x14ac:dyDescent="0.2">
      <c r="A7" s="4" t="s">
        <v>2138</v>
      </c>
      <c r="C7" s="28">
        <f>INDEX(Assumptions!$I$50:$K$54,$C$11,MATCH(Assumptions!$B$4,Assumptions!$D$9:$F$9,0))+Assumptions!$C$46</f>
        <v>6.3399999999999998E-2</v>
      </c>
    </row>
    <row r="8" spans="1:23" ht="15" customHeight="1" x14ac:dyDescent="0.2">
      <c r="A8" s="4" t="s">
        <v>2139</v>
      </c>
      <c r="C8" s="28">
        <f>1/(1+$C$7)</f>
        <v>0.94037991348504801</v>
      </c>
    </row>
    <row r="9" spans="1:23" ht="15" customHeight="1" x14ac:dyDescent="0.2">
      <c r="A9" s="4" t="s">
        <v>2140</v>
      </c>
      <c r="C9" s="48">
        <f>IT_load_MW*INDEX(Assumptions!$M$50:$M$54,$C$11,1)*Hours_per_year*INDEX(Assumptions!$C$50:$E$54,$C$11,MATCH(Assumptions!$B$4,Assumptions!$D$9:$F$9,0))*Assumptions!$C$45/Unit_scale</f>
        <v>46.098623999999994</v>
      </c>
    </row>
    <row r="10" spans="1:23" ht="15" customHeight="1" x14ac:dyDescent="0.2">
      <c r="A10" s="4" t="s">
        <v>2141</v>
      </c>
      <c r="C10" s="48">
        <f>IT_load_MW*OM_fixed+Insurance_rate*Calculations!$C$6+INDEX(Assumptions!$O$50:$O$54,$C$11,1)*($C$13+Calculations!$C$6)*(1-Prop_tax_abatement)</f>
        <v>86.47</v>
      </c>
    </row>
    <row r="11" spans="1:23" ht="15" customHeight="1" x14ac:dyDescent="0.2">
      <c r="A11" s="4" t="s">
        <v>2142</v>
      </c>
      <c r="C11" s="48">
        <f>MATCH($B$5,Assumptions!$B$50:$B$54,0)</f>
        <v>1</v>
      </c>
    </row>
    <row r="12" spans="1:23" ht="15" customHeight="1" x14ac:dyDescent="0.2">
      <c r="A12" s="4" t="s">
        <v>2143</v>
      </c>
      <c r="C12" s="28">
        <f>INDEX(Assumptions!$L$50:$L$54,MATCH($B$5,Assumptions!$B$50:$B$54,0),1)</f>
        <v>0.22</v>
      </c>
    </row>
    <row r="13" spans="1:23" ht="15" customHeight="1" x14ac:dyDescent="0.2">
      <c r="A13" s="4" t="s">
        <v>2144</v>
      </c>
      <c r="C13" s="48">
        <f>IT_load_MW*(Facility_capex_MW+INDEX(Assumptions!$N$50:$N$54,$C$11,1))</f>
        <v>1739.9999999999998</v>
      </c>
    </row>
    <row r="14" spans="1:23" ht="15" customHeight="1" x14ac:dyDescent="0.2">
      <c r="A14" s="4" t="s">
        <v>2145</v>
      </c>
      <c r="C14" s="50">
        <f>Calculations!$C$6</f>
        <v>2520</v>
      </c>
    </row>
    <row r="15" spans="1:23" ht="15" customHeight="1" x14ac:dyDescent="0.2">
      <c r="A15" s="4" t="s">
        <v>2146</v>
      </c>
      <c r="C15" s="48">
        <f>IT_load_MW*Assumptions!$G$12*Hours_per_year*Assumptions!$C$45/Unit_scale*Compute_P0</f>
        <v>2636.4096000000004</v>
      </c>
    </row>
    <row r="16" spans="1:23" ht="15" customHeight="1" x14ac:dyDescent="0.2">
      <c r="A16" s="4" t="s">
        <v>2147</v>
      </c>
      <c r="D16" s="4">
        <f t="shared" ref="D16:W16" si="0">IF(D$3&lt;$C$6,0,IF(D$3&lt;=$C$6+GPU_life-1,1,0))</f>
        <v>0</v>
      </c>
      <c r="E16" s="4">
        <f t="shared" si="0"/>
        <v>0</v>
      </c>
      <c r="F16" s="4">
        <f t="shared" si="0"/>
        <v>1</v>
      </c>
      <c r="G16" s="4">
        <f t="shared" si="0"/>
        <v>1</v>
      </c>
      <c r="H16" s="4">
        <f t="shared" si="0"/>
        <v>1</v>
      </c>
      <c r="I16" s="4">
        <f t="shared" si="0"/>
        <v>1</v>
      </c>
      <c r="J16" s="4">
        <f t="shared" si="0"/>
        <v>1</v>
      </c>
      <c r="K16" s="4">
        <f t="shared" si="0"/>
        <v>0</v>
      </c>
      <c r="L16" s="4">
        <f t="shared" si="0"/>
        <v>0</v>
      </c>
      <c r="M16" s="4">
        <f t="shared" si="0"/>
        <v>0</v>
      </c>
      <c r="N16" s="4">
        <f t="shared" si="0"/>
        <v>0</v>
      </c>
      <c r="O16" s="4">
        <f t="shared" si="0"/>
        <v>0</v>
      </c>
      <c r="P16" s="4">
        <f t="shared" si="0"/>
        <v>0</v>
      </c>
      <c r="Q16" s="4">
        <f t="shared" si="0"/>
        <v>0</v>
      </c>
      <c r="R16" s="4">
        <f t="shared" si="0"/>
        <v>0</v>
      </c>
      <c r="S16" s="4">
        <f t="shared" si="0"/>
        <v>0</v>
      </c>
      <c r="T16" s="4">
        <f t="shared" si="0"/>
        <v>0</v>
      </c>
      <c r="U16" s="4">
        <f t="shared" si="0"/>
        <v>0</v>
      </c>
      <c r="V16" s="4">
        <f t="shared" si="0"/>
        <v>0</v>
      </c>
      <c r="W16" s="4">
        <f t="shared" si="0"/>
        <v>0</v>
      </c>
    </row>
    <row r="17" spans="1:23" ht="15" customHeight="1" x14ac:dyDescent="0.2">
      <c r="A17" s="4" t="s">
        <v>35</v>
      </c>
      <c r="D17" s="4">
        <f t="shared" ref="D17:W17" si="1">--(D16&gt;0)</f>
        <v>0</v>
      </c>
      <c r="E17" s="4">
        <f t="shared" si="1"/>
        <v>0</v>
      </c>
      <c r="F17" s="4">
        <f t="shared" si="1"/>
        <v>1</v>
      </c>
      <c r="G17" s="4">
        <f t="shared" si="1"/>
        <v>1</v>
      </c>
      <c r="H17" s="4">
        <f t="shared" si="1"/>
        <v>1</v>
      </c>
      <c r="I17" s="4">
        <f t="shared" si="1"/>
        <v>1</v>
      </c>
      <c r="J17" s="4">
        <f t="shared" si="1"/>
        <v>1</v>
      </c>
      <c r="K17" s="4">
        <f t="shared" si="1"/>
        <v>0</v>
      </c>
      <c r="L17" s="4">
        <f t="shared" si="1"/>
        <v>0</v>
      </c>
      <c r="M17" s="4">
        <f t="shared" si="1"/>
        <v>0</v>
      </c>
      <c r="N17" s="4">
        <f t="shared" si="1"/>
        <v>0</v>
      </c>
      <c r="O17" s="4">
        <f t="shared" si="1"/>
        <v>0</v>
      </c>
      <c r="P17" s="4">
        <f t="shared" si="1"/>
        <v>0</v>
      </c>
      <c r="Q17" s="4">
        <f t="shared" si="1"/>
        <v>0</v>
      </c>
      <c r="R17" s="4">
        <f t="shared" si="1"/>
        <v>0</v>
      </c>
      <c r="S17" s="4">
        <f t="shared" si="1"/>
        <v>0</v>
      </c>
      <c r="T17" s="4">
        <f t="shared" si="1"/>
        <v>0</v>
      </c>
      <c r="U17" s="4">
        <f t="shared" si="1"/>
        <v>0</v>
      </c>
      <c r="V17" s="4">
        <f t="shared" si="1"/>
        <v>0</v>
      </c>
      <c r="W17" s="4">
        <f t="shared" si="1"/>
        <v>0</v>
      </c>
    </row>
    <row r="18" spans="1:23" ht="15" customHeight="1" x14ac:dyDescent="0.2">
      <c r="A18" s="4" t="s">
        <v>2148</v>
      </c>
      <c r="D18" s="28">
        <f t="shared" ref="D18:W18" si="2">D17*(1-(1-Ramp_yr1)*((D$3-$C$6)=0)-(1-Ramp_yr2)*((D$3-$C$6)=1))</f>
        <v>0</v>
      </c>
      <c r="E18" s="28">
        <f t="shared" si="2"/>
        <v>0</v>
      </c>
      <c r="F18" s="28">
        <f t="shared" si="2"/>
        <v>0.65</v>
      </c>
      <c r="G18" s="28">
        <f t="shared" si="2"/>
        <v>0.85</v>
      </c>
      <c r="H18" s="28">
        <f t="shared" si="2"/>
        <v>1</v>
      </c>
      <c r="I18" s="28">
        <f t="shared" si="2"/>
        <v>1</v>
      </c>
      <c r="J18" s="28">
        <f t="shared" si="2"/>
        <v>1</v>
      </c>
      <c r="K18" s="28">
        <f t="shared" si="2"/>
        <v>0</v>
      </c>
      <c r="L18" s="28">
        <f t="shared" si="2"/>
        <v>0</v>
      </c>
      <c r="M18" s="28">
        <f t="shared" si="2"/>
        <v>0</v>
      </c>
      <c r="N18" s="28">
        <f t="shared" si="2"/>
        <v>0</v>
      </c>
      <c r="O18" s="28">
        <f t="shared" si="2"/>
        <v>0</v>
      </c>
      <c r="P18" s="28">
        <f t="shared" si="2"/>
        <v>0</v>
      </c>
      <c r="Q18" s="28">
        <f t="shared" si="2"/>
        <v>0</v>
      </c>
      <c r="R18" s="28">
        <f t="shared" si="2"/>
        <v>0</v>
      </c>
      <c r="S18" s="28">
        <f t="shared" si="2"/>
        <v>0</v>
      </c>
      <c r="T18" s="28">
        <f t="shared" si="2"/>
        <v>0</v>
      </c>
      <c r="U18" s="28">
        <f t="shared" si="2"/>
        <v>0</v>
      </c>
      <c r="V18" s="28">
        <f t="shared" si="2"/>
        <v>0</v>
      </c>
      <c r="W18" s="28">
        <f t="shared" si="2"/>
        <v>0</v>
      </c>
    </row>
    <row r="19" spans="1:23" ht="15" customHeight="1" x14ac:dyDescent="0.2">
      <c r="A19" s="4" t="s">
        <v>2149</v>
      </c>
      <c r="D19" s="48">
        <f t="shared" ref="D19:W19" si="3">MAX(Price_floor,Compute_P0*(1-Price_decline)^$C$27)</f>
        <v>3.648000000000001</v>
      </c>
      <c r="E19" s="48">
        <f t="shared" si="3"/>
        <v>3.648000000000001</v>
      </c>
      <c r="F19" s="48">
        <f t="shared" si="3"/>
        <v>3.648000000000001</v>
      </c>
      <c r="G19" s="48">
        <f t="shared" si="3"/>
        <v>3.648000000000001</v>
      </c>
      <c r="H19" s="48">
        <f t="shared" si="3"/>
        <v>3.648000000000001</v>
      </c>
      <c r="I19" s="48">
        <f t="shared" si="3"/>
        <v>3.648000000000001</v>
      </c>
      <c r="J19" s="48">
        <f t="shared" si="3"/>
        <v>3.648000000000001</v>
      </c>
      <c r="K19" s="48">
        <f t="shared" si="3"/>
        <v>3.648000000000001</v>
      </c>
      <c r="L19" s="48">
        <f t="shared" si="3"/>
        <v>3.648000000000001</v>
      </c>
      <c r="M19" s="48">
        <f t="shared" si="3"/>
        <v>3.648000000000001</v>
      </c>
      <c r="N19" s="48">
        <f t="shared" si="3"/>
        <v>3.648000000000001</v>
      </c>
      <c r="O19" s="48">
        <f t="shared" si="3"/>
        <v>3.648000000000001</v>
      </c>
      <c r="P19" s="48">
        <f t="shared" si="3"/>
        <v>3.648000000000001</v>
      </c>
      <c r="Q19" s="48">
        <f t="shared" si="3"/>
        <v>3.648000000000001</v>
      </c>
      <c r="R19" s="48">
        <f t="shared" si="3"/>
        <v>3.648000000000001</v>
      </c>
      <c r="S19" s="48">
        <f t="shared" si="3"/>
        <v>3.648000000000001</v>
      </c>
      <c r="T19" s="48">
        <f t="shared" si="3"/>
        <v>3.648000000000001</v>
      </c>
      <c r="U19" s="48">
        <f t="shared" si="3"/>
        <v>3.648000000000001</v>
      </c>
      <c r="V19" s="48">
        <f t="shared" si="3"/>
        <v>3.648000000000001</v>
      </c>
      <c r="W19" s="48">
        <f t="shared" si="3"/>
        <v>3.648000000000001</v>
      </c>
    </row>
    <row r="20" spans="1:23" ht="15" customHeight="1" x14ac:dyDescent="0.2">
      <c r="A20" s="4" t="s">
        <v>2150</v>
      </c>
      <c r="D20" s="54">
        <f t="shared" ref="D20:W20" si="4">$C$15*D19/Compute_P0*D18</f>
        <v>0</v>
      </c>
      <c r="E20" s="54">
        <f t="shared" si="4"/>
        <v>0</v>
      </c>
      <c r="F20" s="54">
        <f t="shared" si="4"/>
        <v>1096.7463936000004</v>
      </c>
      <c r="G20" s="54">
        <f t="shared" si="4"/>
        <v>1434.2068224000006</v>
      </c>
      <c r="H20" s="54">
        <f t="shared" si="4"/>
        <v>1687.3021440000007</v>
      </c>
      <c r="I20" s="54">
        <f t="shared" si="4"/>
        <v>1687.3021440000007</v>
      </c>
      <c r="J20" s="54">
        <f t="shared" si="4"/>
        <v>1687.3021440000007</v>
      </c>
      <c r="K20" s="54">
        <f t="shared" si="4"/>
        <v>0</v>
      </c>
      <c r="L20" s="54">
        <f t="shared" si="4"/>
        <v>0</v>
      </c>
      <c r="M20" s="54">
        <f t="shared" si="4"/>
        <v>0</v>
      </c>
      <c r="N20" s="54">
        <f t="shared" si="4"/>
        <v>0</v>
      </c>
      <c r="O20" s="54">
        <f t="shared" si="4"/>
        <v>0</v>
      </c>
      <c r="P20" s="54">
        <f t="shared" si="4"/>
        <v>0</v>
      </c>
      <c r="Q20" s="54">
        <f t="shared" si="4"/>
        <v>0</v>
      </c>
      <c r="R20" s="54">
        <f t="shared" si="4"/>
        <v>0</v>
      </c>
      <c r="S20" s="54">
        <f t="shared" si="4"/>
        <v>0</v>
      </c>
      <c r="T20" s="54">
        <f t="shared" si="4"/>
        <v>0</v>
      </c>
      <c r="U20" s="54">
        <f t="shared" si="4"/>
        <v>0</v>
      </c>
      <c r="V20" s="54">
        <f t="shared" si="4"/>
        <v>0</v>
      </c>
      <c r="W20" s="54">
        <f t="shared" si="4"/>
        <v>0</v>
      </c>
    </row>
    <row r="21" spans="1:23" ht="15" customHeight="1" x14ac:dyDescent="0.2">
      <c r="A21" s="4" t="s">
        <v>42</v>
      </c>
      <c r="D21" s="54">
        <f t="shared" ref="D21:W21" si="5">D20-$C$9*D18-$C$10*D17</f>
        <v>0</v>
      </c>
      <c r="E21" s="54">
        <f t="shared" si="5"/>
        <v>0</v>
      </c>
      <c r="F21" s="54">
        <f t="shared" si="5"/>
        <v>980.31228800000031</v>
      </c>
      <c r="G21" s="54">
        <f t="shared" si="5"/>
        <v>1308.5529920000006</v>
      </c>
      <c r="H21" s="54">
        <f t="shared" si="5"/>
        <v>1554.7335200000007</v>
      </c>
      <c r="I21" s="54">
        <f t="shared" si="5"/>
        <v>1554.7335200000007</v>
      </c>
      <c r="J21" s="54">
        <f t="shared" si="5"/>
        <v>1554.7335200000007</v>
      </c>
      <c r="K21" s="54">
        <f t="shared" si="5"/>
        <v>0</v>
      </c>
      <c r="L21" s="54">
        <f t="shared" si="5"/>
        <v>0</v>
      </c>
      <c r="M21" s="54">
        <f t="shared" si="5"/>
        <v>0</v>
      </c>
      <c r="N21" s="54">
        <f t="shared" si="5"/>
        <v>0</v>
      </c>
      <c r="O21" s="54">
        <f t="shared" si="5"/>
        <v>0</v>
      </c>
      <c r="P21" s="54">
        <f t="shared" si="5"/>
        <v>0</v>
      </c>
      <c r="Q21" s="54">
        <f t="shared" si="5"/>
        <v>0</v>
      </c>
      <c r="R21" s="54">
        <f t="shared" si="5"/>
        <v>0</v>
      </c>
      <c r="S21" s="54">
        <f t="shared" si="5"/>
        <v>0</v>
      </c>
      <c r="T21" s="54">
        <f t="shared" si="5"/>
        <v>0</v>
      </c>
      <c r="U21" s="54">
        <f t="shared" si="5"/>
        <v>0</v>
      </c>
      <c r="V21" s="54">
        <f t="shared" si="5"/>
        <v>0</v>
      </c>
      <c r="W21" s="54">
        <f t="shared" si="5"/>
        <v>0</v>
      </c>
    </row>
    <row r="22" spans="1:23" ht="15" customHeight="1" x14ac:dyDescent="0.2">
      <c r="A22" s="4" t="s">
        <v>2151</v>
      </c>
      <c r="D22" s="54">
        <f>-($C$13*Calculations!$C$15+$C$14/GPU_life)*D17</f>
        <v>0</v>
      </c>
      <c r="E22" s="54">
        <f>-($C$13*Calculations!$C$15+$C$14/GPU_life)*E17</f>
        <v>0</v>
      </c>
      <c r="F22" s="54">
        <f>-($C$13*Calculations!$C$15+$C$14/GPU_life)*F17</f>
        <v>-615.06999999999994</v>
      </c>
      <c r="G22" s="54">
        <f>-($C$13*Calculations!$C$15+$C$14/GPU_life)*G17</f>
        <v>-615.06999999999994</v>
      </c>
      <c r="H22" s="54">
        <f>-($C$13*Calculations!$C$15+$C$14/GPU_life)*H17</f>
        <v>-615.06999999999994</v>
      </c>
      <c r="I22" s="54">
        <f>-($C$13*Calculations!$C$15+$C$14/GPU_life)*I17</f>
        <v>-615.06999999999994</v>
      </c>
      <c r="J22" s="54">
        <f>-($C$13*Calculations!$C$15+$C$14/GPU_life)*J17</f>
        <v>-615.06999999999994</v>
      </c>
      <c r="K22" s="54">
        <f>-($C$13*Calculations!$C$15+$C$14/GPU_life)*K17</f>
        <v>0</v>
      </c>
      <c r="L22" s="54">
        <f>-($C$13*Calculations!$C$15+$C$14/GPU_life)*L17</f>
        <v>0</v>
      </c>
      <c r="M22" s="54">
        <f>-($C$13*Calculations!$C$15+$C$14/GPU_life)*M17</f>
        <v>0</v>
      </c>
      <c r="N22" s="54">
        <f>-($C$13*Calculations!$C$15+$C$14/GPU_life)*N17</f>
        <v>0</v>
      </c>
      <c r="O22" s="54">
        <f>-($C$13*Calculations!$C$15+$C$14/GPU_life)*O17</f>
        <v>0</v>
      </c>
      <c r="P22" s="54">
        <f>-($C$13*Calculations!$C$15+$C$14/GPU_life)*P17</f>
        <v>0</v>
      </c>
      <c r="Q22" s="54">
        <f>-($C$13*Calculations!$C$15+$C$14/GPU_life)*Q17</f>
        <v>0</v>
      </c>
      <c r="R22" s="54">
        <f>-($C$13*Calculations!$C$15+$C$14/GPU_life)*R17</f>
        <v>0</v>
      </c>
      <c r="S22" s="54">
        <f>-($C$13*Calculations!$C$15+$C$14/GPU_life)*S17</f>
        <v>0</v>
      </c>
      <c r="T22" s="54">
        <f>-($C$13*Calculations!$C$15+$C$14/GPU_life)*T17</f>
        <v>0</v>
      </c>
      <c r="U22" s="54">
        <f>-($C$13*Calculations!$C$15+$C$14/GPU_life)*U17</f>
        <v>0</v>
      </c>
      <c r="V22" s="54">
        <f>-($C$13*Calculations!$C$15+$C$14/GPU_life)*V17</f>
        <v>0</v>
      </c>
      <c r="W22" s="54">
        <f>-($C$13*Calculations!$C$15+$C$14/GPU_life)*W17</f>
        <v>0</v>
      </c>
    </row>
    <row r="23" spans="1:23" ht="15" customHeight="1" x14ac:dyDescent="0.2">
      <c r="A23" s="4" t="s">
        <v>2152</v>
      </c>
      <c r="D23" s="54">
        <f t="shared" ref="D23:W23" si="6">-$C$12*MAX(D21+D22,0)</f>
        <v>0</v>
      </c>
      <c r="E23" s="54">
        <f t="shared" si="6"/>
        <v>0</v>
      </c>
      <c r="F23" s="54">
        <f t="shared" si="6"/>
        <v>-80.353303360000083</v>
      </c>
      <c r="G23" s="54">
        <f t="shared" si="6"/>
        <v>-152.56625824000014</v>
      </c>
      <c r="H23" s="54">
        <f t="shared" si="6"/>
        <v>-206.72597440000015</v>
      </c>
      <c r="I23" s="54">
        <f t="shared" si="6"/>
        <v>-206.72597440000015</v>
      </c>
      <c r="J23" s="54">
        <f t="shared" si="6"/>
        <v>-206.72597440000015</v>
      </c>
      <c r="K23" s="54">
        <f t="shared" si="6"/>
        <v>0</v>
      </c>
      <c r="L23" s="54">
        <f t="shared" si="6"/>
        <v>0</v>
      </c>
      <c r="M23" s="54">
        <f t="shared" si="6"/>
        <v>0</v>
      </c>
      <c r="N23" s="54">
        <f t="shared" si="6"/>
        <v>0</v>
      </c>
      <c r="O23" s="54">
        <f t="shared" si="6"/>
        <v>0</v>
      </c>
      <c r="P23" s="54">
        <f t="shared" si="6"/>
        <v>0</v>
      </c>
      <c r="Q23" s="54">
        <f t="shared" si="6"/>
        <v>0</v>
      </c>
      <c r="R23" s="54">
        <f t="shared" si="6"/>
        <v>0</v>
      </c>
      <c r="S23" s="54">
        <f t="shared" si="6"/>
        <v>0</v>
      </c>
      <c r="T23" s="54">
        <f t="shared" si="6"/>
        <v>0</v>
      </c>
      <c r="U23" s="54">
        <f t="shared" si="6"/>
        <v>0</v>
      </c>
      <c r="V23" s="54">
        <f t="shared" si="6"/>
        <v>0</v>
      </c>
      <c r="W23" s="54">
        <f t="shared" si="6"/>
        <v>0</v>
      </c>
    </row>
    <row r="24" spans="1:23" ht="15" customHeight="1" x14ac:dyDescent="0.2">
      <c r="A24" s="4" t="s">
        <v>2153</v>
      </c>
      <c r="D24" s="54">
        <f>D21+D23-$C$13*IF($C$6=0,--(D$3=0),--(D$3&lt;=$C$6-1)/$C$6)-$C$13*Assumptions!$F$38*IF(AND(D$3&gt;=1,D$3&lt;=$C$6),1,0)-$C$14*(D$3=$C$6)+($C$13*Facility_salvage_pct+$C$14*GPU_salvage_pct*(1-$C$12))*(D$3=$C$6+GPU_life-1)</f>
        <v>-869.99999999999989</v>
      </c>
      <c r="E24" s="54">
        <f>E21+E23-$C$13*IF($C$6=0,--(E$3=0),--(E$3&lt;=$C$6-1)/$C$6)-$C$13*Assumptions!$F$38*IF(AND(E$3&gt;=1,E$3&lt;=$C$6),1,0)-$C$14*(E$3=$C$6)+($C$13*Facility_salvage_pct+$C$14*GPU_salvage_pct*(1-$C$12))*(E$3=$C$6+GPU_life-1)</f>
        <v>-896.09999999999991</v>
      </c>
      <c r="F24" s="54">
        <f>F21+F23-$C$13*IF($C$6=0,--(F$3=0),--(F$3&lt;=$C$6-1)/$C$6)-$C$13*Assumptions!$F$38*IF(AND(F$3&gt;=1,F$3&lt;=$C$6),1,0)-$C$14*(F$3=$C$6)+($C$13*Facility_salvage_pct+$C$14*GPU_salvage_pct*(1-$C$12))*(F$3=$C$6+GPU_life-1)</f>
        <v>-1646.1410153599998</v>
      </c>
      <c r="G24" s="54">
        <f>G21+G23-$C$13*IF($C$6=0,--(G$3=0),--(G$3&lt;=$C$6-1)/$C$6)-$C$13*Assumptions!$F$38*IF(AND(G$3&gt;=1,G$3&lt;=$C$6),1,0)-$C$14*(G$3=$C$6)+($C$13*Facility_salvage_pct+$C$14*GPU_salvage_pct*(1-$C$12))*(G$3=$C$6+GPU_life-1)</f>
        <v>1155.9867337600003</v>
      </c>
      <c r="H24" s="54">
        <f>H21+H23-$C$13*IF($C$6=0,--(H$3=0),--(H$3&lt;=$C$6-1)/$C$6)-$C$13*Assumptions!$F$38*IF(AND(H$3&gt;=1,H$3&lt;=$C$6),1,0)-$C$14*(H$3=$C$6)+($C$13*Facility_salvage_pct+$C$14*GPU_salvage_pct*(1-$C$12))*(H$3=$C$6+GPU_life-1)</f>
        <v>1348.0075456000004</v>
      </c>
      <c r="I24" s="54">
        <f>I21+I23-$C$13*IF($C$6=0,--(I$3=0),--(I$3&lt;=$C$6-1)/$C$6)-$C$13*Assumptions!$F$38*IF(AND(I$3&gt;=1,I$3&lt;=$C$6),1,0)-$C$14*(I$3=$C$6)+($C$13*Facility_salvage_pct+$C$14*GPU_salvage_pct*(1-$C$12))*(I$3=$C$6+GPU_life-1)</f>
        <v>1348.0075456000004</v>
      </c>
      <c r="J24" s="54">
        <f>J21+J23-$C$13*IF($C$6=0,--(J$3=0),--(J$3&lt;=$C$6-1)/$C$6)-$C$13*Assumptions!$F$38*IF(AND(J$3&gt;=1,J$3&lt;=$C$6),1,0)-$C$14*(J$3=$C$6)+($C$13*Facility_salvage_pct+$C$14*GPU_salvage_pct*(1-$C$12))*(J$3=$C$6+GPU_life-1)</f>
        <v>2327.5675456000004</v>
      </c>
      <c r="K24" s="54">
        <f>K21+K23-$C$13*IF($C$6=0,--(K$3=0),--(K$3&lt;=$C$6-1)/$C$6)-$C$13*Assumptions!$F$38*IF(AND(K$3&gt;=1,K$3&lt;=$C$6),1,0)-$C$14*(K$3=$C$6)+($C$13*Facility_salvage_pct+$C$14*GPU_salvage_pct*(1-$C$12))*(K$3=$C$6+GPU_life-1)</f>
        <v>0</v>
      </c>
      <c r="L24" s="54">
        <f>L21+L23-$C$13*IF($C$6=0,--(L$3=0),--(L$3&lt;=$C$6-1)/$C$6)-$C$13*Assumptions!$F$38*IF(AND(L$3&gt;=1,L$3&lt;=$C$6),1,0)-$C$14*(L$3=$C$6)+($C$13*Facility_salvage_pct+$C$14*GPU_salvage_pct*(1-$C$12))*(L$3=$C$6+GPU_life-1)</f>
        <v>0</v>
      </c>
      <c r="M24" s="54">
        <f>M21+M23-$C$13*IF($C$6=0,--(M$3=0),--(M$3&lt;=$C$6-1)/$C$6)-$C$13*Assumptions!$F$38*IF(AND(M$3&gt;=1,M$3&lt;=$C$6),1,0)-$C$14*(M$3=$C$6)+($C$13*Facility_salvage_pct+$C$14*GPU_salvage_pct*(1-$C$12))*(M$3=$C$6+GPU_life-1)</f>
        <v>0</v>
      </c>
      <c r="N24" s="54">
        <f>N21+N23-$C$13*IF($C$6=0,--(N$3=0),--(N$3&lt;=$C$6-1)/$C$6)-$C$13*Assumptions!$F$38*IF(AND(N$3&gt;=1,N$3&lt;=$C$6),1,0)-$C$14*(N$3=$C$6)+($C$13*Facility_salvage_pct+$C$14*GPU_salvage_pct*(1-$C$12))*(N$3=$C$6+GPU_life-1)</f>
        <v>0</v>
      </c>
      <c r="O24" s="54">
        <f>O21+O23-$C$13*IF($C$6=0,--(O$3=0),--(O$3&lt;=$C$6-1)/$C$6)-$C$13*Assumptions!$F$38*IF(AND(O$3&gt;=1,O$3&lt;=$C$6),1,0)-$C$14*(O$3=$C$6)+($C$13*Facility_salvage_pct+$C$14*GPU_salvage_pct*(1-$C$12))*(O$3=$C$6+GPU_life-1)</f>
        <v>0</v>
      </c>
      <c r="P24" s="54">
        <f>P21+P23-$C$13*IF($C$6=0,--(P$3=0),--(P$3&lt;=$C$6-1)/$C$6)-$C$13*Assumptions!$F$38*IF(AND(P$3&gt;=1,P$3&lt;=$C$6),1,0)-$C$14*(P$3=$C$6)+($C$13*Facility_salvage_pct+$C$14*GPU_salvage_pct*(1-$C$12))*(P$3=$C$6+GPU_life-1)</f>
        <v>0</v>
      </c>
      <c r="Q24" s="54">
        <f>Q21+Q23-$C$13*IF($C$6=0,--(Q$3=0),--(Q$3&lt;=$C$6-1)/$C$6)-$C$13*Assumptions!$F$38*IF(AND(Q$3&gt;=1,Q$3&lt;=$C$6),1,0)-$C$14*(Q$3=$C$6)+($C$13*Facility_salvage_pct+$C$14*GPU_salvage_pct*(1-$C$12))*(Q$3=$C$6+GPU_life-1)</f>
        <v>0</v>
      </c>
      <c r="R24" s="54">
        <f>R21+R23-$C$13*IF($C$6=0,--(R$3=0),--(R$3&lt;=$C$6-1)/$C$6)-$C$13*Assumptions!$F$38*IF(AND(R$3&gt;=1,R$3&lt;=$C$6),1,0)-$C$14*(R$3=$C$6)+($C$13*Facility_salvage_pct+$C$14*GPU_salvage_pct*(1-$C$12))*(R$3=$C$6+GPU_life-1)</f>
        <v>0</v>
      </c>
      <c r="S24" s="54">
        <f>S21+S23-$C$13*IF($C$6=0,--(S$3=0),--(S$3&lt;=$C$6-1)/$C$6)-$C$13*Assumptions!$F$38*IF(AND(S$3&gt;=1,S$3&lt;=$C$6),1,0)-$C$14*(S$3=$C$6)+($C$13*Facility_salvage_pct+$C$14*GPU_salvage_pct*(1-$C$12))*(S$3=$C$6+GPU_life-1)</f>
        <v>0</v>
      </c>
      <c r="T24" s="54">
        <f>T21+T23-$C$13*IF($C$6=0,--(T$3=0),--(T$3&lt;=$C$6-1)/$C$6)-$C$13*Assumptions!$F$38*IF(AND(T$3&gt;=1,T$3&lt;=$C$6),1,0)-$C$14*(T$3=$C$6)+($C$13*Facility_salvage_pct+$C$14*GPU_salvage_pct*(1-$C$12))*(T$3=$C$6+GPU_life-1)</f>
        <v>0</v>
      </c>
      <c r="U24" s="54">
        <f>U21+U23-$C$13*IF($C$6=0,--(U$3=0),--(U$3&lt;=$C$6-1)/$C$6)-$C$13*Assumptions!$F$38*IF(AND(U$3&gt;=1,U$3&lt;=$C$6),1,0)-$C$14*(U$3=$C$6)+($C$13*Facility_salvage_pct+$C$14*GPU_salvage_pct*(1-$C$12))*(U$3=$C$6+GPU_life-1)</f>
        <v>0</v>
      </c>
      <c r="V24" s="54">
        <f>V21+V23-$C$13*IF($C$6=0,--(V$3=0),--(V$3&lt;=$C$6-1)/$C$6)-$C$13*Assumptions!$F$38*IF(AND(V$3&gt;=1,V$3&lt;=$C$6),1,0)-$C$14*(V$3=$C$6)+($C$13*Facility_salvage_pct+$C$14*GPU_salvage_pct*(1-$C$12))*(V$3=$C$6+GPU_life-1)</f>
        <v>0</v>
      </c>
      <c r="W24" s="54">
        <f>W21+W23-$C$13*IF($C$6=0,--(W$3=0),--(W$3&lt;=$C$6-1)/$C$6)-$C$13*Assumptions!$F$38*IF(AND(W$3&gt;=1,W$3&lt;=$C$6),1,0)-$C$14*(W$3=$C$6)+($C$13*Facility_salvage_pct+$C$14*GPU_salvage_pct*(1-$C$12))*(W$3=$C$6+GPU_life-1)</f>
        <v>0</v>
      </c>
    </row>
    <row r="25" spans="1:23" ht="15" customHeight="1" x14ac:dyDescent="0.2">
      <c r="A25" s="4" t="s">
        <v>2154</v>
      </c>
      <c r="D25" s="54">
        <f t="shared" ref="D25:W25" si="7">D24*$C$8^D$3</f>
        <v>-869.99999999999989</v>
      </c>
      <c r="E25" s="54">
        <f t="shared" si="7"/>
        <v>-842.67444047395145</v>
      </c>
      <c r="F25" s="54">
        <f t="shared" si="7"/>
        <v>-1455.7061741662835</v>
      </c>
      <c r="G25" s="54">
        <f t="shared" si="7"/>
        <v>961.30872080342556</v>
      </c>
      <c r="H25" s="54">
        <f t="shared" si="7"/>
        <v>1054.1579765347572</v>
      </c>
      <c r="I25" s="54">
        <f t="shared" si="7"/>
        <v>991.30898677332823</v>
      </c>
      <c r="J25" s="54">
        <f t="shared" si="7"/>
        <v>1609.6162843444986</v>
      </c>
      <c r="K25" s="54">
        <f t="shared" si="7"/>
        <v>0</v>
      </c>
      <c r="L25" s="54">
        <f t="shared" si="7"/>
        <v>0</v>
      </c>
      <c r="M25" s="54">
        <f t="shared" si="7"/>
        <v>0</v>
      </c>
      <c r="N25" s="54">
        <f t="shared" si="7"/>
        <v>0</v>
      </c>
      <c r="O25" s="54">
        <f t="shared" si="7"/>
        <v>0</v>
      </c>
      <c r="P25" s="54">
        <f t="shared" si="7"/>
        <v>0</v>
      </c>
      <c r="Q25" s="54">
        <f t="shared" si="7"/>
        <v>0</v>
      </c>
      <c r="R25" s="54">
        <f t="shared" si="7"/>
        <v>0</v>
      </c>
      <c r="S25" s="54">
        <f t="shared" si="7"/>
        <v>0</v>
      </c>
      <c r="T25" s="54">
        <f t="shared" si="7"/>
        <v>0</v>
      </c>
      <c r="U25" s="54">
        <f t="shared" si="7"/>
        <v>0</v>
      </c>
      <c r="V25" s="54">
        <f t="shared" si="7"/>
        <v>0</v>
      </c>
      <c r="W25" s="54">
        <f t="shared" si="7"/>
        <v>0</v>
      </c>
    </row>
    <row r="26" spans="1:23" ht="15" customHeight="1" x14ac:dyDescent="0.2">
      <c r="A26" s="4" t="s">
        <v>2155</v>
      </c>
      <c r="D26" s="54">
        <f t="shared" ref="D26:W26" si="8">(D20-$C$9*D18)*(1-$C$12)*$C$8^D$3</f>
        <v>0</v>
      </c>
      <c r="E26" s="54">
        <f t="shared" si="8"/>
        <v>0</v>
      </c>
      <c r="F26" s="54">
        <f t="shared" si="8"/>
        <v>735.82931713703329</v>
      </c>
      <c r="G26" s="54">
        <f t="shared" si="8"/>
        <v>904.86960484726558</v>
      </c>
      <c r="H26" s="54">
        <f t="shared" si="8"/>
        <v>1001.0837655547308</v>
      </c>
      <c r="I26" s="54">
        <f t="shared" si="8"/>
        <v>941.39906484364394</v>
      </c>
      <c r="J26" s="54">
        <f t="shared" si="8"/>
        <v>885.27277115257095</v>
      </c>
      <c r="K26" s="54">
        <f t="shared" si="8"/>
        <v>0</v>
      </c>
      <c r="L26" s="54">
        <f t="shared" si="8"/>
        <v>0</v>
      </c>
      <c r="M26" s="54">
        <f t="shared" si="8"/>
        <v>0</v>
      </c>
      <c r="N26" s="54">
        <f t="shared" si="8"/>
        <v>0</v>
      </c>
      <c r="O26" s="54">
        <f t="shared" si="8"/>
        <v>0</v>
      </c>
      <c r="P26" s="54">
        <f t="shared" si="8"/>
        <v>0</v>
      </c>
      <c r="Q26" s="54">
        <f t="shared" si="8"/>
        <v>0</v>
      </c>
      <c r="R26" s="54">
        <f t="shared" si="8"/>
        <v>0</v>
      </c>
      <c r="S26" s="54">
        <f t="shared" si="8"/>
        <v>0</v>
      </c>
      <c r="T26" s="54">
        <f t="shared" si="8"/>
        <v>0</v>
      </c>
      <c r="U26" s="54">
        <f t="shared" si="8"/>
        <v>0</v>
      </c>
      <c r="V26" s="54">
        <f t="shared" si="8"/>
        <v>0</v>
      </c>
      <c r="W26" s="54">
        <f t="shared" si="8"/>
        <v>0</v>
      </c>
    </row>
    <row r="27" spans="1:23" ht="15" customHeight="1" x14ac:dyDescent="0.2">
      <c r="A27" t="s">
        <v>2156</v>
      </c>
      <c r="C27" s="57">
        <f>INDEX(Assumptions!$F$50:$H$54,$C$11,MATCH(Assumptions!$B$4,Assumptions!$D$9:$F$9,0))</f>
        <v>2</v>
      </c>
    </row>
    <row r="28" spans="1:23" ht="15" customHeight="1" x14ac:dyDescent="0.2">
      <c r="A28" s="22" t="s">
        <v>2157</v>
      </c>
      <c r="C28" s="51">
        <f>SUM(D25:W25)</f>
        <v>1448.0113538157748</v>
      </c>
    </row>
    <row r="29" spans="1:23" ht="15" customHeight="1" x14ac:dyDescent="0.2">
      <c r="A29" s="4" t="s">
        <v>2158</v>
      </c>
      <c r="C29" s="48">
        <f>SUM(D26:W26)</f>
        <v>4468.4545235352443</v>
      </c>
    </row>
    <row r="30" spans="1:23" ht="15" customHeight="1" x14ac:dyDescent="0.2">
      <c r="A30" s="4" t="s">
        <v>63</v>
      </c>
      <c r="C30" s="31">
        <f>IF(C29&lt;=0,"n/a",IF(Assumptions!$C$45*(1-C28/C29)&gt;1,"&gt;100% (never)",Assumptions!$C$45*(1-C28/C29)))</f>
        <v>0.59483429345729322</v>
      </c>
    </row>
    <row r="32" spans="1:23" ht="15" customHeight="1" x14ac:dyDescent="0.2">
      <c r="A32" s="5"/>
      <c r="C32" s="48"/>
    </row>
    <row r="33" spans="1:3" ht="15" customHeight="1" x14ac:dyDescent="0.2">
      <c r="A33" s="5"/>
      <c r="C33" s="48"/>
    </row>
    <row r="34" spans="1:3" ht="15" customHeight="1" x14ac:dyDescent="0.2">
      <c r="A34" s="5"/>
      <c r="C34" s="28"/>
    </row>
    <row r="35" spans="1:3" ht="15" customHeight="1" x14ac:dyDescent="0.2">
      <c r="A35" s="5"/>
      <c r="C35" s="28"/>
    </row>
    <row r="36" spans="1:3" ht="15" customHeight="1" x14ac:dyDescent="0.2">
      <c r="A36" s="5"/>
      <c r="C36" s="48"/>
    </row>
    <row r="37" spans="1:3" ht="15" customHeight="1" x14ac:dyDescent="0.2">
      <c r="A37" s="5"/>
      <c r="C37" s="48"/>
    </row>
    <row r="38" spans="1:3" ht="15" customHeight="1" x14ac:dyDescent="0.2">
      <c r="A38" s="5"/>
      <c r="C38" s="48"/>
    </row>
    <row r="39" spans="1:3" ht="15" customHeight="1" x14ac:dyDescent="0.2">
      <c r="A39" s="5"/>
      <c r="C39" s="48"/>
    </row>
    <row r="40" spans="1:3" ht="15" customHeight="1" x14ac:dyDescent="0.2">
      <c r="A40" s="5"/>
      <c r="C40" s="48"/>
    </row>
    <row r="41" spans="1:3" ht="15" customHeight="1" x14ac:dyDescent="0.2">
      <c r="A41" s="5"/>
      <c r="C41" s="48"/>
    </row>
    <row r="42" spans="1:3" ht="15" customHeight="1" x14ac:dyDescent="0.2">
      <c r="A42" s="5"/>
      <c r="C42" s="48"/>
    </row>
    <row r="43" spans="1:3" ht="15" customHeight="1" x14ac:dyDescent="0.2">
      <c r="A43" s="5"/>
      <c r="C43" s="48"/>
    </row>
    <row r="44" spans="1:3" ht="15" customHeight="1" x14ac:dyDescent="0.2">
      <c r="A44" s="5"/>
      <c r="C44" s="48"/>
    </row>
    <row r="45" spans="1:3" ht="15" customHeight="1" x14ac:dyDescent="0.2">
      <c r="A45" s="5"/>
      <c r="C45" s="48"/>
    </row>
    <row r="46" spans="1:3" ht="15" customHeight="1" x14ac:dyDescent="0.2">
      <c r="A46" s="5"/>
      <c r="C46" s="48"/>
    </row>
    <row r="49" spans="1:23" ht="15" customHeight="1" x14ac:dyDescent="0.2">
      <c r="A49" s="7" t="s">
        <v>2159</v>
      </c>
      <c r="B49" s="4" t="s">
        <v>237</v>
      </c>
    </row>
    <row r="50" spans="1:23" ht="15" customHeight="1" x14ac:dyDescent="0.2">
      <c r="A50" s="4" t="s">
        <v>2137</v>
      </c>
      <c r="C50" s="28">
        <f>ROUND($C$71,0)</f>
        <v>2</v>
      </c>
    </row>
    <row r="51" spans="1:23" ht="15" customHeight="1" x14ac:dyDescent="0.2">
      <c r="A51" s="4" t="s">
        <v>2138</v>
      </c>
      <c r="C51" s="28">
        <f>INDEX(Assumptions!$I$50:$K$54,$C$55,MATCH(Assumptions!$B$4,Assumptions!$D$9:$F$9,0))+Assumptions!$D$46</f>
        <v>0.1084</v>
      </c>
    </row>
    <row r="52" spans="1:23" ht="15" customHeight="1" x14ac:dyDescent="0.2">
      <c r="A52" s="4" t="s">
        <v>2139</v>
      </c>
      <c r="C52" s="28">
        <f>1/(1+$C$51)</f>
        <v>0.90220137134608436</v>
      </c>
    </row>
    <row r="53" spans="1:23" ht="15" customHeight="1" x14ac:dyDescent="0.2">
      <c r="A53" s="4" t="s">
        <v>2140</v>
      </c>
      <c r="C53" s="48">
        <f>IT_load_MW*INDEX(Assumptions!$M$50:$M$54,$C$55,1)*Hours_per_year*INDEX(Assumptions!$C$50:$E$54,$C$55,MATCH(Assumptions!$B$4,Assumptions!$D$9:$F$9,0))*Assumptions!$D$45/Unit_scale</f>
        <v>36.66935999999999</v>
      </c>
    </row>
    <row r="54" spans="1:23" ht="15" customHeight="1" x14ac:dyDescent="0.2">
      <c r="A54" s="4" t="s">
        <v>2141</v>
      </c>
      <c r="C54" s="48">
        <f>IT_load_MW*OM_fixed+Insurance_rate*Calculations!$C$6+INDEX(Assumptions!$O$50:$O$54,$C$55,1)*($C$57+Calculations!$C$6)*(1-Prop_tax_abatement)</f>
        <v>86.47</v>
      </c>
    </row>
    <row r="55" spans="1:23" ht="15" customHeight="1" x14ac:dyDescent="0.2">
      <c r="A55" s="4" t="s">
        <v>2142</v>
      </c>
      <c r="C55" s="48">
        <f>MATCH($B$49,Assumptions!$B$50:$B$54,0)</f>
        <v>1</v>
      </c>
    </row>
    <row r="56" spans="1:23" ht="15" customHeight="1" x14ac:dyDescent="0.2">
      <c r="A56" s="4" t="s">
        <v>2143</v>
      </c>
      <c r="C56" s="28">
        <f>INDEX(Assumptions!$L$50:$L$54,MATCH($B$49,Assumptions!$B$50:$B$54,0),1)</f>
        <v>0.22</v>
      </c>
    </row>
    <row r="57" spans="1:23" ht="15" customHeight="1" x14ac:dyDescent="0.2">
      <c r="A57" s="4" t="s">
        <v>2144</v>
      </c>
      <c r="C57" s="48">
        <f>IT_load_MW*(Facility_capex_MW+INDEX(Assumptions!$N$50:$N$54,$C$55,1))</f>
        <v>1739.9999999999998</v>
      </c>
    </row>
    <row r="58" spans="1:23" ht="15" customHeight="1" x14ac:dyDescent="0.2">
      <c r="A58" s="4" t="s">
        <v>2145</v>
      </c>
      <c r="C58" s="50">
        <f>Calculations!$C$6</f>
        <v>2520</v>
      </c>
    </row>
    <row r="59" spans="1:23" ht="15" customHeight="1" x14ac:dyDescent="0.2">
      <c r="A59" s="4" t="s">
        <v>2146</v>
      </c>
      <c r="C59" s="48">
        <f>IT_load_MW*Assumptions!$G$12*Hours_per_year*Assumptions!$D$45/Unit_scale*Compute_P0</f>
        <v>2097.1440000000002</v>
      </c>
    </row>
    <row r="60" spans="1:23" ht="15" customHeight="1" x14ac:dyDescent="0.2">
      <c r="A60" s="4" t="s">
        <v>2147</v>
      </c>
      <c r="D60" s="4">
        <f t="shared" ref="D60:W60" si="9">IF(D$3&lt;$C$50,0,IF(D$3&lt;=$C$50+GPU_life-1,1,0))</f>
        <v>0</v>
      </c>
      <c r="E60" s="4">
        <f t="shared" si="9"/>
        <v>0</v>
      </c>
      <c r="F60" s="4">
        <f t="shared" si="9"/>
        <v>1</v>
      </c>
      <c r="G60" s="4">
        <f t="shared" si="9"/>
        <v>1</v>
      </c>
      <c r="H60" s="4">
        <f t="shared" si="9"/>
        <v>1</v>
      </c>
      <c r="I60" s="4">
        <f t="shared" si="9"/>
        <v>1</v>
      </c>
      <c r="J60" s="4">
        <f t="shared" si="9"/>
        <v>1</v>
      </c>
      <c r="K60" s="4">
        <f t="shared" si="9"/>
        <v>0</v>
      </c>
      <c r="L60" s="4">
        <f t="shared" si="9"/>
        <v>0</v>
      </c>
      <c r="M60" s="4">
        <f t="shared" si="9"/>
        <v>0</v>
      </c>
      <c r="N60" s="4">
        <f t="shared" si="9"/>
        <v>0</v>
      </c>
      <c r="O60" s="4">
        <f t="shared" si="9"/>
        <v>0</v>
      </c>
      <c r="P60" s="4">
        <f t="shared" si="9"/>
        <v>0</v>
      </c>
      <c r="Q60" s="4">
        <f t="shared" si="9"/>
        <v>0</v>
      </c>
      <c r="R60" s="4">
        <f t="shared" si="9"/>
        <v>0</v>
      </c>
      <c r="S60" s="4">
        <f t="shared" si="9"/>
        <v>0</v>
      </c>
      <c r="T60" s="4">
        <f t="shared" si="9"/>
        <v>0</v>
      </c>
      <c r="U60" s="4">
        <f t="shared" si="9"/>
        <v>0</v>
      </c>
      <c r="V60" s="4">
        <f t="shared" si="9"/>
        <v>0</v>
      </c>
      <c r="W60" s="4">
        <f t="shared" si="9"/>
        <v>0</v>
      </c>
    </row>
    <row r="61" spans="1:23" ht="15" customHeight="1" x14ac:dyDescent="0.2">
      <c r="A61" s="4" t="s">
        <v>35</v>
      </c>
      <c r="D61" s="4">
        <f t="shared" ref="D61:W61" si="10">--(D60&gt;0)</f>
        <v>0</v>
      </c>
      <c r="E61" s="4">
        <f t="shared" si="10"/>
        <v>0</v>
      </c>
      <c r="F61" s="4">
        <f t="shared" si="10"/>
        <v>1</v>
      </c>
      <c r="G61" s="4">
        <f t="shared" si="10"/>
        <v>1</v>
      </c>
      <c r="H61" s="4">
        <f t="shared" si="10"/>
        <v>1</v>
      </c>
      <c r="I61" s="4">
        <f t="shared" si="10"/>
        <v>1</v>
      </c>
      <c r="J61" s="4">
        <f t="shared" si="10"/>
        <v>1</v>
      </c>
      <c r="K61" s="4">
        <f t="shared" si="10"/>
        <v>0</v>
      </c>
      <c r="L61" s="4">
        <f t="shared" si="10"/>
        <v>0</v>
      </c>
      <c r="M61" s="4">
        <f t="shared" si="10"/>
        <v>0</v>
      </c>
      <c r="N61" s="4">
        <f t="shared" si="10"/>
        <v>0</v>
      </c>
      <c r="O61" s="4">
        <f t="shared" si="10"/>
        <v>0</v>
      </c>
      <c r="P61" s="4">
        <f t="shared" si="10"/>
        <v>0</v>
      </c>
      <c r="Q61" s="4">
        <f t="shared" si="10"/>
        <v>0</v>
      </c>
      <c r="R61" s="4">
        <f t="shared" si="10"/>
        <v>0</v>
      </c>
      <c r="S61" s="4">
        <f t="shared" si="10"/>
        <v>0</v>
      </c>
      <c r="T61" s="4">
        <f t="shared" si="10"/>
        <v>0</v>
      </c>
      <c r="U61" s="4">
        <f t="shared" si="10"/>
        <v>0</v>
      </c>
      <c r="V61" s="4">
        <f t="shared" si="10"/>
        <v>0</v>
      </c>
      <c r="W61" s="4">
        <f t="shared" si="10"/>
        <v>0</v>
      </c>
    </row>
    <row r="62" spans="1:23" ht="15" customHeight="1" x14ac:dyDescent="0.2">
      <c r="A62" s="4" t="s">
        <v>2148</v>
      </c>
      <c r="D62" s="28">
        <f t="shared" ref="D62:W62" si="11">D61*(1-(1-Ramp_yr1)*((D$3-$C$50)=0)-(1-Ramp_yr2)*((D$3-$C$50)=1))</f>
        <v>0</v>
      </c>
      <c r="E62" s="28">
        <f t="shared" si="11"/>
        <v>0</v>
      </c>
      <c r="F62" s="28">
        <f t="shared" si="11"/>
        <v>0.65</v>
      </c>
      <c r="G62" s="28">
        <f t="shared" si="11"/>
        <v>0.85</v>
      </c>
      <c r="H62" s="28">
        <f t="shared" si="11"/>
        <v>1</v>
      </c>
      <c r="I62" s="28">
        <f t="shared" si="11"/>
        <v>1</v>
      </c>
      <c r="J62" s="28">
        <f t="shared" si="11"/>
        <v>1</v>
      </c>
      <c r="K62" s="28">
        <f t="shared" si="11"/>
        <v>0</v>
      </c>
      <c r="L62" s="28">
        <f t="shared" si="11"/>
        <v>0</v>
      </c>
      <c r="M62" s="28">
        <f t="shared" si="11"/>
        <v>0</v>
      </c>
      <c r="N62" s="28">
        <f t="shared" si="11"/>
        <v>0</v>
      </c>
      <c r="O62" s="28">
        <f t="shared" si="11"/>
        <v>0</v>
      </c>
      <c r="P62" s="28">
        <f t="shared" si="11"/>
        <v>0</v>
      </c>
      <c r="Q62" s="28">
        <f t="shared" si="11"/>
        <v>0</v>
      </c>
      <c r="R62" s="28">
        <f t="shared" si="11"/>
        <v>0</v>
      </c>
      <c r="S62" s="28">
        <f t="shared" si="11"/>
        <v>0</v>
      </c>
      <c r="T62" s="28">
        <f t="shared" si="11"/>
        <v>0</v>
      </c>
      <c r="U62" s="28">
        <f t="shared" si="11"/>
        <v>0</v>
      </c>
      <c r="V62" s="28">
        <f t="shared" si="11"/>
        <v>0</v>
      </c>
      <c r="W62" s="28">
        <f t="shared" si="11"/>
        <v>0</v>
      </c>
    </row>
    <row r="63" spans="1:23" ht="15" customHeight="1" x14ac:dyDescent="0.2">
      <c r="A63" s="4" t="s">
        <v>2149</v>
      </c>
      <c r="D63" s="48">
        <f t="shared" ref="D63:W63" si="12">MAX(Price_floor,Compute_P0*(1-Price_decline)^MAX($C$71+D$3-$C$50))</f>
        <v>5.7</v>
      </c>
      <c r="E63" s="48">
        <f t="shared" si="12"/>
        <v>4.5600000000000005</v>
      </c>
      <c r="F63" s="48">
        <f t="shared" si="12"/>
        <v>3.648000000000001</v>
      </c>
      <c r="G63" s="48">
        <f t="shared" si="12"/>
        <v>2.918400000000001</v>
      </c>
      <c r="H63" s="48">
        <f t="shared" si="12"/>
        <v>2.5</v>
      </c>
      <c r="I63" s="48">
        <f t="shared" si="12"/>
        <v>2.5</v>
      </c>
      <c r="J63" s="48">
        <f t="shared" si="12"/>
        <v>2.5</v>
      </c>
      <c r="K63" s="48">
        <f t="shared" si="12"/>
        <v>2.5</v>
      </c>
      <c r="L63" s="48">
        <f t="shared" si="12"/>
        <v>2.5</v>
      </c>
      <c r="M63" s="48">
        <f t="shared" si="12"/>
        <v>2.5</v>
      </c>
      <c r="N63" s="48">
        <f t="shared" si="12"/>
        <v>2.5</v>
      </c>
      <c r="O63" s="48">
        <f t="shared" si="12"/>
        <v>2.5</v>
      </c>
      <c r="P63" s="48">
        <f t="shared" si="12"/>
        <v>2.5</v>
      </c>
      <c r="Q63" s="48">
        <f t="shared" si="12"/>
        <v>2.5</v>
      </c>
      <c r="R63" s="48">
        <f t="shared" si="12"/>
        <v>2.5</v>
      </c>
      <c r="S63" s="48">
        <f t="shared" si="12"/>
        <v>2.5</v>
      </c>
      <c r="T63" s="48">
        <f t="shared" si="12"/>
        <v>2.5</v>
      </c>
      <c r="U63" s="48">
        <f t="shared" si="12"/>
        <v>2.5</v>
      </c>
      <c r="V63" s="48">
        <f t="shared" si="12"/>
        <v>2.5</v>
      </c>
      <c r="W63" s="48">
        <f t="shared" si="12"/>
        <v>2.5</v>
      </c>
    </row>
    <row r="64" spans="1:23" ht="15" customHeight="1" x14ac:dyDescent="0.2">
      <c r="A64" s="4" t="s">
        <v>2150</v>
      </c>
      <c r="D64" s="54">
        <f t="shared" ref="D64:W64" si="13">$C$59*D63/Compute_P0*D62</f>
        <v>0</v>
      </c>
      <c r="E64" s="54">
        <f t="shared" si="13"/>
        <v>0</v>
      </c>
      <c r="F64" s="54">
        <f t="shared" si="13"/>
        <v>872.41190400000039</v>
      </c>
      <c r="G64" s="54">
        <f t="shared" si="13"/>
        <v>912.67706880000026</v>
      </c>
      <c r="H64" s="54">
        <f t="shared" si="13"/>
        <v>919.80000000000007</v>
      </c>
      <c r="I64" s="54">
        <f t="shared" si="13"/>
        <v>919.80000000000007</v>
      </c>
      <c r="J64" s="54">
        <f t="shared" si="13"/>
        <v>919.80000000000007</v>
      </c>
      <c r="K64" s="54">
        <f t="shared" si="13"/>
        <v>0</v>
      </c>
      <c r="L64" s="54">
        <f t="shared" si="13"/>
        <v>0</v>
      </c>
      <c r="M64" s="54">
        <f t="shared" si="13"/>
        <v>0</v>
      </c>
      <c r="N64" s="54">
        <f t="shared" si="13"/>
        <v>0</v>
      </c>
      <c r="O64" s="54">
        <f t="shared" si="13"/>
        <v>0</v>
      </c>
      <c r="P64" s="54">
        <f t="shared" si="13"/>
        <v>0</v>
      </c>
      <c r="Q64" s="54">
        <f t="shared" si="13"/>
        <v>0</v>
      </c>
      <c r="R64" s="54">
        <f t="shared" si="13"/>
        <v>0</v>
      </c>
      <c r="S64" s="54">
        <f t="shared" si="13"/>
        <v>0</v>
      </c>
      <c r="T64" s="54">
        <f t="shared" si="13"/>
        <v>0</v>
      </c>
      <c r="U64" s="54">
        <f t="shared" si="13"/>
        <v>0</v>
      </c>
      <c r="V64" s="54">
        <f t="shared" si="13"/>
        <v>0</v>
      </c>
      <c r="W64" s="54">
        <f t="shared" si="13"/>
        <v>0</v>
      </c>
    </row>
    <row r="65" spans="1:23" ht="15" customHeight="1" x14ac:dyDescent="0.2">
      <c r="A65" s="4" t="s">
        <v>42</v>
      </c>
      <c r="D65" s="54">
        <f t="shared" ref="D65:W65" si="14">D64-$C$53*D62-$C$54*D61</f>
        <v>0</v>
      </c>
      <c r="E65" s="54">
        <f t="shared" si="14"/>
        <v>0</v>
      </c>
      <c r="F65" s="54">
        <f t="shared" si="14"/>
        <v>762.10682000000043</v>
      </c>
      <c r="G65" s="54">
        <f t="shared" si="14"/>
        <v>795.03811280000025</v>
      </c>
      <c r="H65" s="54">
        <f t="shared" si="14"/>
        <v>796.66064000000006</v>
      </c>
      <c r="I65" s="54">
        <f t="shared" si="14"/>
        <v>796.66064000000006</v>
      </c>
      <c r="J65" s="54">
        <f t="shared" si="14"/>
        <v>796.66064000000006</v>
      </c>
      <c r="K65" s="54">
        <f t="shared" si="14"/>
        <v>0</v>
      </c>
      <c r="L65" s="54">
        <f t="shared" si="14"/>
        <v>0</v>
      </c>
      <c r="M65" s="54">
        <f t="shared" si="14"/>
        <v>0</v>
      </c>
      <c r="N65" s="54">
        <f t="shared" si="14"/>
        <v>0</v>
      </c>
      <c r="O65" s="54">
        <f t="shared" si="14"/>
        <v>0</v>
      </c>
      <c r="P65" s="54">
        <f t="shared" si="14"/>
        <v>0</v>
      </c>
      <c r="Q65" s="54">
        <f t="shared" si="14"/>
        <v>0</v>
      </c>
      <c r="R65" s="54">
        <f t="shared" si="14"/>
        <v>0</v>
      </c>
      <c r="S65" s="54">
        <f t="shared" si="14"/>
        <v>0</v>
      </c>
      <c r="T65" s="54">
        <f t="shared" si="14"/>
        <v>0</v>
      </c>
      <c r="U65" s="54">
        <f t="shared" si="14"/>
        <v>0</v>
      </c>
      <c r="V65" s="54">
        <f t="shared" si="14"/>
        <v>0</v>
      </c>
      <c r="W65" s="54">
        <f t="shared" si="14"/>
        <v>0</v>
      </c>
    </row>
    <row r="66" spans="1:23" ht="15" customHeight="1" x14ac:dyDescent="0.2">
      <c r="A66" s="4" t="s">
        <v>2151</v>
      </c>
      <c r="D66" s="54">
        <f>-($C$57*Calculations!$C$15+$C$58/GPU_life)*D61</f>
        <v>0</v>
      </c>
      <c r="E66" s="54">
        <f>-($C$57*Calculations!$C$15+$C$58/GPU_life)*E61</f>
        <v>0</v>
      </c>
      <c r="F66" s="54">
        <f>-($C$57*Calculations!$C$15+$C$58/GPU_life)*F61</f>
        <v>-615.06999999999994</v>
      </c>
      <c r="G66" s="54">
        <f>-($C$57*Calculations!$C$15+$C$58/GPU_life)*G61</f>
        <v>-615.06999999999994</v>
      </c>
      <c r="H66" s="54">
        <f>-($C$57*Calculations!$C$15+$C$58/GPU_life)*H61</f>
        <v>-615.06999999999994</v>
      </c>
      <c r="I66" s="54">
        <f>-($C$57*Calculations!$C$15+$C$58/GPU_life)*I61</f>
        <v>-615.06999999999994</v>
      </c>
      <c r="J66" s="54">
        <f>-($C$57*Calculations!$C$15+$C$58/GPU_life)*J61</f>
        <v>-615.06999999999994</v>
      </c>
      <c r="K66" s="54">
        <f>-($C$57*Calculations!$C$15+$C$58/GPU_life)*K61</f>
        <v>0</v>
      </c>
      <c r="L66" s="54">
        <f>-($C$57*Calculations!$C$15+$C$58/GPU_life)*L61</f>
        <v>0</v>
      </c>
      <c r="M66" s="54">
        <f>-($C$57*Calculations!$C$15+$C$58/GPU_life)*M61</f>
        <v>0</v>
      </c>
      <c r="N66" s="54">
        <f>-($C$57*Calculations!$C$15+$C$58/GPU_life)*N61</f>
        <v>0</v>
      </c>
      <c r="O66" s="54">
        <f>-($C$57*Calculations!$C$15+$C$58/GPU_life)*O61</f>
        <v>0</v>
      </c>
      <c r="P66" s="54">
        <f>-($C$57*Calculations!$C$15+$C$58/GPU_life)*P61</f>
        <v>0</v>
      </c>
      <c r="Q66" s="54">
        <f>-($C$57*Calculations!$C$15+$C$58/GPU_life)*Q61</f>
        <v>0</v>
      </c>
      <c r="R66" s="54">
        <f>-($C$57*Calculations!$C$15+$C$58/GPU_life)*R61</f>
        <v>0</v>
      </c>
      <c r="S66" s="54">
        <f>-($C$57*Calculations!$C$15+$C$58/GPU_life)*S61</f>
        <v>0</v>
      </c>
      <c r="T66" s="54">
        <f>-($C$57*Calculations!$C$15+$C$58/GPU_life)*T61</f>
        <v>0</v>
      </c>
      <c r="U66" s="54">
        <f>-($C$57*Calculations!$C$15+$C$58/GPU_life)*U61</f>
        <v>0</v>
      </c>
      <c r="V66" s="54">
        <f>-($C$57*Calculations!$C$15+$C$58/GPU_life)*V61</f>
        <v>0</v>
      </c>
      <c r="W66" s="54">
        <f>-($C$57*Calculations!$C$15+$C$58/GPU_life)*W61</f>
        <v>0</v>
      </c>
    </row>
    <row r="67" spans="1:23" ht="15" customHeight="1" x14ac:dyDescent="0.2">
      <c r="A67" s="4" t="s">
        <v>2152</v>
      </c>
      <c r="D67" s="54">
        <f t="shared" ref="D67:W67" si="15">-$C$56*MAX(D65+D66,0)</f>
        <v>0</v>
      </c>
      <c r="E67" s="54">
        <f t="shared" si="15"/>
        <v>0</v>
      </c>
      <c r="F67" s="54">
        <f t="shared" si="15"/>
        <v>-32.348100400000106</v>
      </c>
      <c r="G67" s="54">
        <f t="shared" si="15"/>
        <v>-39.592984816000069</v>
      </c>
      <c r="H67" s="54">
        <f t="shared" si="15"/>
        <v>-39.949940800000029</v>
      </c>
      <c r="I67" s="54">
        <f t="shared" si="15"/>
        <v>-39.949940800000029</v>
      </c>
      <c r="J67" s="54">
        <f t="shared" si="15"/>
        <v>-39.949940800000029</v>
      </c>
      <c r="K67" s="54">
        <f t="shared" si="15"/>
        <v>0</v>
      </c>
      <c r="L67" s="54">
        <f t="shared" si="15"/>
        <v>0</v>
      </c>
      <c r="M67" s="54">
        <f t="shared" si="15"/>
        <v>0</v>
      </c>
      <c r="N67" s="54">
        <f t="shared" si="15"/>
        <v>0</v>
      </c>
      <c r="O67" s="54">
        <f t="shared" si="15"/>
        <v>0</v>
      </c>
      <c r="P67" s="54">
        <f t="shared" si="15"/>
        <v>0</v>
      </c>
      <c r="Q67" s="54">
        <f t="shared" si="15"/>
        <v>0</v>
      </c>
      <c r="R67" s="54">
        <f t="shared" si="15"/>
        <v>0</v>
      </c>
      <c r="S67" s="54">
        <f t="shared" si="15"/>
        <v>0</v>
      </c>
      <c r="T67" s="54">
        <f t="shared" si="15"/>
        <v>0</v>
      </c>
      <c r="U67" s="54">
        <f t="shared" si="15"/>
        <v>0</v>
      </c>
      <c r="V67" s="54">
        <f t="shared" si="15"/>
        <v>0</v>
      </c>
      <c r="W67" s="54">
        <f t="shared" si="15"/>
        <v>0</v>
      </c>
    </row>
    <row r="68" spans="1:23" ht="15" customHeight="1" x14ac:dyDescent="0.2">
      <c r="A68" s="4" t="s">
        <v>2153</v>
      </c>
      <c r="D68" s="54">
        <f>D65+D67-$C$57*IF($C$50=0,--(D$3=0),--(D$3&lt;=$C$50-1)/$C$50)-$C$57*Assumptions!$F$38*IF(AND(D$3&gt;=1,D$3&lt;=$C$50),1,0)-$C$58*(D$3=$C$50)+($C$57*Facility_salvage_pct+$C$58*GPU_salvage_pct*(1-$C$56))*(D$3=$C$50+GPU_life-1)</f>
        <v>-869.99999999999989</v>
      </c>
      <c r="E68" s="54">
        <f>E65+E67-$C$57*IF($C$50=0,--(E$3=0),--(E$3&lt;=$C$50-1)/$C$50)-$C$57*Assumptions!$F$38*IF(AND(E$3&gt;=1,E$3&lt;=$C$50),1,0)-$C$58*(E$3=$C$50)+($C$57*Facility_salvage_pct+$C$58*GPU_salvage_pct*(1-$C$56))*(E$3=$C$50+GPU_life-1)</f>
        <v>-896.09999999999991</v>
      </c>
      <c r="F68" s="54">
        <f>F65+F67-$C$57*IF($C$50=0,--(F$3=0),--(F$3&lt;=$C$50-1)/$C$50)-$C$57*Assumptions!$F$38*IF(AND(F$3&gt;=1,F$3&lt;=$C$50),1,0)-$C$58*(F$3=$C$50)+($C$57*Facility_salvage_pct+$C$58*GPU_salvage_pct*(1-$C$56))*(F$3=$C$50+GPU_life-1)</f>
        <v>-1816.3412803999997</v>
      </c>
      <c r="G68" s="54">
        <f>G65+G67-$C$57*IF($C$50=0,--(G$3=0),--(G$3&lt;=$C$50-1)/$C$50)-$C$57*Assumptions!$F$38*IF(AND(G$3&gt;=1,G$3&lt;=$C$50),1,0)-$C$58*(G$3=$C$50)+($C$57*Facility_salvage_pct+$C$58*GPU_salvage_pct*(1-$C$56))*(G$3=$C$50+GPU_life-1)</f>
        <v>755.44512798400024</v>
      </c>
      <c r="H68" s="54">
        <f>H65+H67-$C$57*IF($C$50=0,--(H$3=0),--(H$3&lt;=$C$50-1)/$C$50)-$C$57*Assumptions!$F$38*IF(AND(H$3&gt;=1,H$3&lt;=$C$50),1,0)-$C$58*(H$3=$C$50)+($C$57*Facility_salvage_pct+$C$58*GPU_salvage_pct*(1-$C$56))*(H$3=$C$50+GPU_life-1)</f>
        <v>756.71069920000002</v>
      </c>
      <c r="I68" s="54">
        <f>I65+I67-$C$57*IF($C$50=0,--(I$3=0),--(I$3&lt;=$C$50-1)/$C$50)-$C$57*Assumptions!$F$38*IF(AND(I$3&gt;=1,I$3&lt;=$C$50),1,0)-$C$58*(I$3=$C$50)+($C$57*Facility_salvage_pct+$C$58*GPU_salvage_pct*(1-$C$56))*(I$3=$C$50+GPU_life-1)</f>
        <v>756.71069920000002</v>
      </c>
      <c r="J68" s="54">
        <f>J65+J67-$C$57*IF($C$50=0,--(J$3=0),--(J$3&lt;=$C$50-1)/$C$50)-$C$57*Assumptions!$F$38*IF(AND(J$3&gt;=1,J$3&lt;=$C$50),1,0)-$C$58*(J$3=$C$50)+($C$57*Facility_salvage_pct+$C$58*GPU_salvage_pct*(1-$C$56))*(J$3=$C$50+GPU_life-1)</f>
        <v>1736.2706991999999</v>
      </c>
      <c r="K68" s="54">
        <f>K65+K67-$C$57*IF($C$50=0,--(K$3=0),--(K$3&lt;=$C$50-1)/$C$50)-$C$57*Assumptions!$F$38*IF(AND(K$3&gt;=1,K$3&lt;=$C$50),1,0)-$C$58*(K$3=$C$50)+($C$57*Facility_salvage_pct+$C$58*GPU_salvage_pct*(1-$C$56))*(K$3=$C$50+GPU_life-1)</f>
        <v>0</v>
      </c>
      <c r="L68" s="54">
        <f>L65+L67-$C$57*IF($C$50=0,--(L$3=0),--(L$3&lt;=$C$50-1)/$C$50)-$C$57*Assumptions!$F$38*IF(AND(L$3&gt;=1,L$3&lt;=$C$50),1,0)-$C$58*(L$3=$C$50)+($C$57*Facility_salvage_pct+$C$58*GPU_salvage_pct*(1-$C$56))*(L$3=$C$50+GPU_life-1)</f>
        <v>0</v>
      </c>
      <c r="M68" s="54">
        <f>M65+M67-$C$57*IF($C$50=0,--(M$3=0),--(M$3&lt;=$C$50-1)/$C$50)-$C$57*Assumptions!$F$38*IF(AND(M$3&gt;=1,M$3&lt;=$C$50),1,0)-$C$58*(M$3=$C$50)+($C$57*Facility_salvage_pct+$C$58*GPU_salvage_pct*(1-$C$56))*(M$3=$C$50+GPU_life-1)</f>
        <v>0</v>
      </c>
      <c r="N68" s="54">
        <f>N65+N67-$C$57*IF($C$50=0,--(N$3=0),--(N$3&lt;=$C$50-1)/$C$50)-$C$57*Assumptions!$F$38*IF(AND(N$3&gt;=1,N$3&lt;=$C$50),1,0)-$C$58*(N$3=$C$50)+($C$57*Facility_salvage_pct+$C$58*GPU_salvage_pct*(1-$C$56))*(N$3=$C$50+GPU_life-1)</f>
        <v>0</v>
      </c>
      <c r="O68" s="54">
        <f>O65+O67-$C$57*IF($C$50=0,--(O$3=0),--(O$3&lt;=$C$50-1)/$C$50)-$C$57*Assumptions!$F$38*IF(AND(O$3&gt;=1,O$3&lt;=$C$50),1,0)-$C$58*(O$3=$C$50)+($C$57*Facility_salvage_pct+$C$58*GPU_salvage_pct*(1-$C$56))*(O$3=$C$50+GPU_life-1)</f>
        <v>0</v>
      </c>
      <c r="P68" s="54">
        <f>P65+P67-$C$57*IF($C$50=0,--(P$3=0),--(P$3&lt;=$C$50-1)/$C$50)-$C$57*Assumptions!$F$38*IF(AND(P$3&gt;=1,P$3&lt;=$C$50),1,0)-$C$58*(P$3=$C$50)+($C$57*Facility_salvage_pct+$C$58*GPU_salvage_pct*(1-$C$56))*(P$3=$C$50+GPU_life-1)</f>
        <v>0</v>
      </c>
      <c r="Q68" s="54">
        <f>Q65+Q67-$C$57*IF($C$50=0,--(Q$3=0),--(Q$3&lt;=$C$50-1)/$C$50)-$C$57*Assumptions!$F$38*IF(AND(Q$3&gt;=1,Q$3&lt;=$C$50),1,0)-$C$58*(Q$3=$C$50)+($C$57*Facility_salvage_pct+$C$58*GPU_salvage_pct*(1-$C$56))*(Q$3=$C$50+GPU_life-1)</f>
        <v>0</v>
      </c>
      <c r="R68" s="54">
        <f>R65+R67-$C$57*IF($C$50=0,--(R$3=0),--(R$3&lt;=$C$50-1)/$C$50)-$C$57*Assumptions!$F$38*IF(AND(R$3&gt;=1,R$3&lt;=$C$50),1,0)-$C$58*(R$3=$C$50)+($C$57*Facility_salvage_pct+$C$58*GPU_salvage_pct*(1-$C$56))*(R$3=$C$50+GPU_life-1)</f>
        <v>0</v>
      </c>
      <c r="S68" s="54">
        <f>S65+S67-$C$57*IF($C$50=0,--(S$3=0),--(S$3&lt;=$C$50-1)/$C$50)-$C$57*Assumptions!$F$38*IF(AND(S$3&gt;=1,S$3&lt;=$C$50),1,0)-$C$58*(S$3=$C$50)+($C$57*Facility_salvage_pct+$C$58*GPU_salvage_pct*(1-$C$56))*(S$3=$C$50+GPU_life-1)</f>
        <v>0</v>
      </c>
      <c r="T68" s="54">
        <f>T65+T67-$C$57*IF($C$50=0,--(T$3=0),--(T$3&lt;=$C$50-1)/$C$50)-$C$57*Assumptions!$F$38*IF(AND(T$3&gt;=1,T$3&lt;=$C$50),1,0)-$C$58*(T$3=$C$50)+($C$57*Facility_salvage_pct+$C$58*GPU_salvage_pct*(1-$C$56))*(T$3=$C$50+GPU_life-1)</f>
        <v>0</v>
      </c>
      <c r="U68" s="54">
        <f>U65+U67-$C$57*IF($C$50=0,--(U$3=0),--(U$3&lt;=$C$50-1)/$C$50)-$C$57*Assumptions!$F$38*IF(AND(U$3&gt;=1,U$3&lt;=$C$50),1,0)-$C$58*(U$3=$C$50)+($C$57*Facility_salvage_pct+$C$58*GPU_salvage_pct*(1-$C$56))*(U$3=$C$50+GPU_life-1)</f>
        <v>0</v>
      </c>
      <c r="V68" s="54">
        <f>V65+V67-$C$57*IF($C$50=0,--(V$3=0),--(V$3&lt;=$C$50-1)/$C$50)-$C$57*Assumptions!$F$38*IF(AND(V$3&gt;=1,V$3&lt;=$C$50),1,0)-$C$58*(V$3=$C$50)+($C$57*Facility_salvage_pct+$C$58*GPU_salvage_pct*(1-$C$56))*(V$3=$C$50+GPU_life-1)</f>
        <v>0</v>
      </c>
      <c r="W68" s="54">
        <f>W65+W67-$C$57*IF($C$50=0,--(W$3=0),--(W$3&lt;=$C$50-1)/$C$50)-$C$57*Assumptions!$F$38*IF(AND(W$3&gt;=1,W$3&lt;=$C$50),1,0)-$C$58*(W$3=$C$50)+($C$57*Facility_salvage_pct+$C$58*GPU_salvage_pct*(1-$C$56))*(W$3=$C$50+GPU_life-1)</f>
        <v>0</v>
      </c>
    </row>
    <row r="69" spans="1:23" ht="15" customHeight="1" x14ac:dyDescent="0.2">
      <c r="A69" s="4" t="s">
        <v>2154</v>
      </c>
      <c r="D69" s="54">
        <f t="shared" ref="D69:W69" si="16">D68*$C$52^D$3</f>
        <v>-869.99999999999989</v>
      </c>
      <c r="E69" s="54">
        <f t="shared" si="16"/>
        <v>-808.46264886322615</v>
      </c>
      <c r="F69" s="54">
        <f t="shared" si="16"/>
        <v>-1478.4424341477647</v>
      </c>
      <c r="G69" s="54">
        <f t="shared" si="16"/>
        <v>554.77051790516714</v>
      </c>
      <c r="H69" s="54">
        <f t="shared" si="16"/>
        <v>501.35321711955504</v>
      </c>
      <c r="I69" s="54">
        <f t="shared" si="16"/>
        <v>452.32156001403376</v>
      </c>
      <c r="J69" s="54">
        <f t="shared" si="16"/>
        <v>936.35025612575987</v>
      </c>
      <c r="K69" s="54">
        <f t="shared" si="16"/>
        <v>0</v>
      </c>
      <c r="L69" s="54">
        <f t="shared" si="16"/>
        <v>0</v>
      </c>
      <c r="M69" s="54">
        <f t="shared" si="16"/>
        <v>0</v>
      </c>
      <c r="N69" s="54">
        <f t="shared" si="16"/>
        <v>0</v>
      </c>
      <c r="O69" s="54">
        <f t="shared" si="16"/>
        <v>0</v>
      </c>
      <c r="P69" s="54">
        <f t="shared" si="16"/>
        <v>0</v>
      </c>
      <c r="Q69" s="54">
        <f t="shared" si="16"/>
        <v>0</v>
      </c>
      <c r="R69" s="54">
        <f t="shared" si="16"/>
        <v>0</v>
      </c>
      <c r="S69" s="54">
        <f t="shared" si="16"/>
        <v>0</v>
      </c>
      <c r="T69" s="54">
        <f t="shared" si="16"/>
        <v>0</v>
      </c>
      <c r="U69" s="54">
        <f t="shared" si="16"/>
        <v>0</v>
      </c>
      <c r="V69" s="54">
        <f t="shared" si="16"/>
        <v>0</v>
      </c>
      <c r="W69" s="54">
        <f t="shared" si="16"/>
        <v>0</v>
      </c>
    </row>
    <row r="70" spans="1:23" ht="15" customHeight="1" x14ac:dyDescent="0.2">
      <c r="A70" s="4" t="s">
        <v>2155</v>
      </c>
      <c r="D70" s="54">
        <f t="shared" ref="D70:W70" si="17">(D64-$C$53*D62)*(1-$C$56)*$C$52^D$3</f>
        <v>0</v>
      </c>
      <c r="E70" s="54">
        <f t="shared" si="17"/>
        <v>0</v>
      </c>
      <c r="F70" s="54">
        <f t="shared" si="17"/>
        <v>538.75676032413367</v>
      </c>
      <c r="G70" s="54">
        <f t="shared" si="17"/>
        <v>504.93022119681427</v>
      </c>
      <c r="H70" s="54">
        <f t="shared" si="17"/>
        <v>456.38723308098332</v>
      </c>
      <c r="I70" s="54">
        <f t="shared" si="17"/>
        <v>411.75318755050819</v>
      </c>
      <c r="J70" s="54">
        <f t="shared" si="17"/>
        <v>371.48429046418994</v>
      </c>
      <c r="K70" s="54">
        <f t="shared" si="17"/>
        <v>0</v>
      </c>
      <c r="L70" s="54">
        <f t="shared" si="17"/>
        <v>0</v>
      </c>
      <c r="M70" s="54">
        <f t="shared" si="17"/>
        <v>0</v>
      </c>
      <c r="N70" s="54">
        <f t="shared" si="17"/>
        <v>0</v>
      </c>
      <c r="O70" s="54">
        <f t="shared" si="17"/>
        <v>0</v>
      </c>
      <c r="P70" s="54">
        <f t="shared" si="17"/>
        <v>0</v>
      </c>
      <c r="Q70" s="54">
        <f t="shared" si="17"/>
        <v>0</v>
      </c>
      <c r="R70" s="54">
        <f t="shared" si="17"/>
        <v>0</v>
      </c>
      <c r="S70" s="54">
        <f t="shared" si="17"/>
        <v>0</v>
      </c>
      <c r="T70" s="54">
        <f t="shared" si="17"/>
        <v>0</v>
      </c>
      <c r="U70" s="54">
        <f t="shared" si="17"/>
        <v>0</v>
      </c>
      <c r="V70" s="54">
        <f t="shared" si="17"/>
        <v>0</v>
      </c>
      <c r="W70" s="54">
        <f t="shared" si="17"/>
        <v>0</v>
      </c>
    </row>
    <row r="71" spans="1:23" ht="15" customHeight="1" x14ac:dyDescent="0.2">
      <c r="A71" t="s">
        <v>2156</v>
      </c>
      <c r="C71" s="57">
        <f>INDEX(Assumptions!$F$50:$H$54,$C$55,MATCH(Assumptions!$B$4,Assumptions!$D$9:$F$9,0))</f>
        <v>2</v>
      </c>
    </row>
    <row r="72" spans="1:23" ht="15" customHeight="1" x14ac:dyDescent="0.2">
      <c r="A72" s="22" t="s">
        <v>2157</v>
      </c>
      <c r="C72" s="51">
        <f>SUM(D69:W69)</f>
        <v>-712.10953184647474</v>
      </c>
    </row>
    <row r="73" spans="1:23" ht="15" customHeight="1" x14ac:dyDescent="0.2">
      <c r="A73" s="4" t="s">
        <v>2158</v>
      </c>
      <c r="C73" s="48">
        <f>SUM(D70:W70)</f>
        <v>2283.3116926166294</v>
      </c>
    </row>
    <row r="74" spans="1:23" ht="15" customHeight="1" x14ac:dyDescent="0.2">
      <c r="A74" s="4" t="s">
        <v>63</v>
      </c>
      <c r="C74" s="31">
        <f>IF(C73&lt;=0,"n/a",IF(Assumptions!$D$45*(1-C72/C73)&gt;1,"&gt;100% (never)",Assumptions!$D$45*(1-C72/C73)))</f>
        <v>0.91831302047128216</v>
      </c>
    </row>
    <row r="76" spans="1:23" ht="15" customHeight="1" x14ac:dyDescent="0.2">
      <c r="A76" s="5"/>
      <c r="C76" s="48"/>
    </row>
    <row r="77" spans="1:23" ht="15" customHeight="1" x14ac:dyDescent="0.2">
      <c r="A77" s="5"/>
      <c r="C77" s="48"/>
    </row>
    <row r="78" spans="1:23" ht="15" customHeight="1" x14ac:dyDescent="0.2">
      <c r="A78" s="5"/>
      <c r="C78" s="28"/>
    </row>
    <row r="79" spans="1:23" ht="15" customHeight="1" x14ac:dyDescent="0.2">
      <c r="A79" s="5"/>
      <c r="C79" s="28"/>
    </row>
    <row r="80" spans="1:23" ht="15" customHeight="1" x14ac:dyDescent="0.2">
      <c r="A80" s="5"/>
      <c r="C80" s="48"/>
    </row>
    <row r="81" spans="1:3" ht="15" customHeight="1" x14ac:dyDescent="0.2">
      <c r="A81" s="5"/>
      <c r="C81" s="48"/>
    </row>
    <row r="82" spans="1:3" ht="15" customHeight="1" x14ac:dyDescent="0.2">
      <c r="A82" s="5"/>
      <c r="C82" s="48"/>
    </row>
    <row r="83" spans="1:3" ht="15" customHeight="1" x14ac:dyDescent="0.2">
      <c r="A83" s="5"/>
      <c r="C83" s="48"/>
    </row>
    <row r="84" spans="1:3" ht="15" customHeight="1" x14ac:dyDescent="0.2">
      <c r="A84" s="5"/>
      <c r="C84" s="48"/>
    </row>
    <row r="85" spans="1:3" ht="15" customHeight="1" x14ac:dyDescent="0.2">
      <c r="A85" s="5"/>
      <c r="C85" s="48"/>
    </row>
    <row r="86" spans="1:3" ht="15" customHeight="1" x14ac:dyDescent="0.2">
      <c r="A86" s="5"/>
      <c r="C86" s="48"/>
    </row>
    <row r="87" spans="1:3" ht="15" customHeight="1" x14ac:dyDescent="0.2">
      <c r="A87" s="5"/>
      <c r="C87" s="48"/>
    </row>
    <row r="88" spans="1:3" ht="15" customHeight="1" x14ac:dyDescent="0.2">
      <c r="A88" s="5"/>
      <c r="C88" s="48"/>
    </row>
    <row r="89" spans="1:3" ht="15" customHeight="1" x14ac:dyDescent="0.2">
      <c r="A89" s="5"/>
      <c r="C89" s="48"/>
    </row>
    <row r="90" spans="1:3" ht="15" customHeight="1" x14ac:dyDescent="0.2">
      <c r="A90" s="5"/>
      <c r="C90" s="48"/>
    </row>
    <row r="93" spans="1:3" ht="15" customHeight="1" x14ac:dyDescent="0.2">
      <c r="A93" s="7" t="s">
        <v>2160</v>
      </c>
      <c r="B93" s="4" t="s">
        <v>242</v>
      </c>
    </row>
    <row r="94" spans="1:3" ht="15" customHeight="1" x14ac:dyDescent="0.2">
      <c r="A94" s="4" t="s">
        <v>2137</v>
      </c>
      <c r="C94" s="28">
        <f>ROUND($C$115,0)</f>
        <v>5</v>
      </c>
    </row>
    <row r="95" spans="1:3" ht="15" customHeight="1" x14ac:dyDescent="0.2">
      <c r="A95" s="4" t="s">
        <v>2138</v>
      </c>
      <c r="C95" s="28">
        <f>INDEX(Assumptions!$I$50:$K$54,$C$99,MATCH(Assumptions!$B$4,Assumptions!$D$9:$F$9,0))+Assumptions!$C$46</f>
        <v>6.3399999999999998E-2</v>
      </c>
    </row>
    <row r="96" spans="1:3" ht="15" customHeight="1" x14ac:dyDescent="0.2">
      <c r="A96" s="4" t="s">
        <v>2139</v>
      </c>
      <c r="C96" s="28">
        <f>1/(1+$C$95)</f>
        <v>0.94037991348504801</v>
      </c>
    </row>
    <row r="97" spans="1:23" ht="15" customHeight="1" x14ac:dyDescent="0.2">
      <c r="A97" s="4" t="s">
        <v>2140</v>
      </c>
      <c r="C97" s="48">
        <f>IT_load_MW*INDEX(Assumptions!$M$50:$M$54,$C$99,1)*Hours_per_year*INDEX(Assumptions!$C$50:$E$54,$C$99,MATCH(Assumptions!$B$4,Assumptions!$D$9:$F$9,0))*Assumptions!$C$45/Unit_scale</f>
        <v>60.128639999999997</v>
      </c>
    </row>
    <row r="98" spans="1:23" ht="15" customHeight="1" x14ac:dyDescent="0.2">
      <c r="A98" s="4" t="s">
        <v>2141</v>
      </c>
      <c r="C98" s="48">
        <f>IT_load_MW*OM_fixed+Insurance_rate*Calculations!$C$6+INDEX(Assumptions!$O$50:$O$54,$C$99,1)*($C$101+Calculations!$C$6)*(1-Prop_tax_abatement)</f>
        <v>101.48</v>
      </c>
    </row>
    <row r="99" spans="1:23" ht="15" customHeight="1" x14ac:dyDescent="0.2">
      <c r="A99" s="4" t="s">
        <v>2142</v>
      </c>
      <c r="C99" s="48">
        <f>MATCH($B$93,Assumptions!$B$50:$B$54,0)</f>
        <v>2</v>
      </c>
    </row>
    <row r="100" spans="1:23" ht="15" customHeight="1" x14ac:dyDescent="0.2">
      <c r="A100" s="4" t="s">
        <v>2143</v>
      </c>
      <c r="C100" s="28">
        <f>INDEX(Assumptions!$L$50:$L$54,MATCH($B$93,Assumptions!$B$50:$B$54,0),1)</f>
        <v>0.21</v>
      </c>
    </row>
    <row r="101" spans="1:23" ht="15" customHeight="1" x14ac:dyDescent="0.2">
      <c r="A101" s="4" t="s">
        <v>2144</v>
      </c>
      <c r="C101" s="48">
        <f>IT_load_MW*(Facility_capex_MW+INDEX(Assumptions!$N$50:$N$54,$C$99,1))</f>
        <v>1760.0000000000002</v>
      </c>
    </row>
    <row r="102" spans="1:23" ht="15" customHeight="1" x14ac:dyDescent="0.2">
      <c r="A102" s="4" t="s">
        <v>2145</v>
      </c>
      <c r="C102" s="50">
        <f>Calculations!$C$6</f>
        <v>2520</v>
      </c>
    </row>
    <row r="103" spans="1:23" ht="15" customHeight="1" x14ac:dyDescent="0.2">
      <c r="A103" s="4" t="s">
        <v>2146</v>
      </c>
      <c r="C103" s="48">
        <f>IT_load_MW*Assumptions!$G$12*Hours_per_year*Assumptions!$C$45/Unit_scale*Compute_P0</f>
        <v>2636.4096000000004</v>
      </c>
    </row>
    <row r="104" spans="1:23" ht="15" customHeight="1" x14ac:dyDescent="0.2">
      <c r="A104" s="4" t="s">
        <v>2147</v>
      </c>
      <c r="D104" s="4">
        <f t="shared" ref="D104:W104" si="18">IF(D$3&lt;$C$94,0,IF(D$3&lt;=$C$94+GPU_life-1,1,0))</f>
        <v>0</v>
      </c>
      <c r="E104" s="4">
        <f t="shared" si="18"/>
        <v>0</v>
      </c>
      <c r="F104" s="4">
        <f t="shared" si="18"/>
        <v>0</v>
      </c>
      <c r="G104" s="4">
        <f t="shared" si="18"/>
        <v>0</v>
      </c>
      <c r="H104" s="4">
        <f t="shared" si="18"/>
        <v>0</v>
      </c>
      <c r="I104" s="4">
        <f t="shared" si="18"/>
        <v>1</v>
      </c>
      <c r="J104" s="4">
        <f t="shared" si="18"/>
        <v>1</v>
      </c>
      <c r="K104" s="4">
        <f t="shared" si="18"/>
        <v>1</v>
      </c>
      <c r="L104" s="4">
        <f t="shared" si="18"/>
        <v>1</v>
      </c>
      <c r="M104" s="4">
        <f t="shared" si="18"/>
        <v>1</v>
      </c>
      <c r="N104" s="4">
        <f t="shared" si="18"/>
        <v>0</v>
      </c>
      <c r="O104" s="4">
        <f t="shared" si="18"/>
        <v>0</v>
      </c>
      <c r="P104" s="4">
        <f t="shared" si="18"/>
        <v>0</v>
      </c>
      <c r="Q104" s="4">
        <f t="shared" si="18"/>
        <v>0</v>
      </c>
      <c r="R104" s="4">
        <f t="shared" si="18"/>
        <v>0</v>
      </c>
      <c r="S104" s="4">
        <f t="shared" si="18"/>
        <v>0</v>
      </c>
      <c r="T104" s="4">
        <f t="shared" si="18"/>
        <v>0</v>
      </c>
      <c r="U104" s="4">
        <f t="shared" si="18"/>
        <v>0</v>
      </c>
      <c r="V104" s="4">
        <f t="shared" si="18"/>
        <v>0</v>
      </c>
      <c r="W104" s="4">
        <f t="shared" si="18"/>
        <v>0</v>
      </c>
    </row>
    <row r="105" spans="1:23" ht="15" customHeight="1" x14ac:dyDescent="0.2">
      <c r="A105" s="4" t="s">
        <v>35</v>
      </c>
      <c r="D105" s="4">
        <f t="shared" ref="D105:W105" si="19">--(D104&gt;0)</f>
        <v>0</v>
      </c>
      <c r="E105" s="4">
        <f t="shared" si="19"/>
        <v>0</v>
      </c>
      <c r="F105" s="4">
        <f t="shared" si="19"/>
        <v>0</v>
      </c>
      <c r="G105" s="4">
        <f t="shared" si="19"/>
        <v>0</v>
      </c>
      <c r="H105" s="4">
        <f t="shared" si="19"/>
        <v>0</v>
      </c>
      <c r="I105" s="4">
        <f t="shared" si="19"/>
        <v>1</v>
      </c>
      <c r="J105" s="4">
        <f t="shared" si="19"/>
        <v>1</v>
      </c>
      <c r="K105" s="4">
        <f t="shared" si="19"/>
        <v>1</v>
      </c>
      <c r="L105" s="4">
        <f t="shared" si="19"/>
        <v>1</v>
      </c>
      <c r="M105" s="4">
        <f t="shared" si="19"/>
        <v>1</v>
      </c>
      <c r="N105" s="4">
        <f t="shared" si="19"/>
        <v>0</v>
      </c>
      <c r="O105" s="4">
        <f t="shared" si="19"/>
        <v>0</v>
      </c>
      <c r="P105" s="4">
        <f t="shared" si="19"/>
        <v>0</v>
      </c>
      <c r="Q105" s="4">
        <f t="shared" si="19"/>
        <v>0</v>
      </c>
      <c r="R105" s="4">
        <f t="shared" si="19"/>
        <v>0</v>
      </c>
      <c r="S105" s="4">
        <f t="shared" si="19"/>
        <v>0</v>
      </c>
      <c r="T105" s="4">
        <f t="shared" si="19"/>
        <v>0</v>
      </c>
      <c r="U105" s="4">
        <f t="shared" si="19"/>
        <v>0</v>
      </c>
      <c r="V105" s="4">
        <f t="shared" si="19"/>
        <v>0</v>
      </c>
      <c r="W105" s="4">
        <f t="shared" si="19"/>
        <v>0</v>
      </c>
    </row>
    <row r="106" spans="1:23" ht="15" customHeight="1" x14ac:dyDescent="0.2">
      <c r="A106" s="4" t="s">
        <v>2148</v>
      </c>
      <c r="D106" s="28">
        <f t="shared" ref="D106:W106" si="20">D105*(1-(1-Ramp_yr1)*((D$3-$C$94)=0)-(1-Ramp_yr2)*((D$3-$C$94)=1))</f>
        <v>0</v>
      </c>
      <c r="E106" s="28">
        <f t="shared" si="20"/>
        <v>0</v>
      </c>
      <c r="F106" s="28">
        <f t="shared" si="20"/>
        <v>0</v>
      </c>
      <c r="G106" s="28">
        <f t="shared" si="20"/>
        <v>0</v>
      </c>
      <c r="H106" s="28">
        <f t="shared" si="20"/>
        <v>0</v>
      </c>
      <c r="I106" s="28">
        <f t="shared" si="20"/>
        <v>0.65</v>
      </c>
      <c r="J106" s="28">
        <f t="shared" si="20"/>
        <v>0.85</v>
      </c>
      <c r="K106" s="28">
        <f t="shared" si="20"/>
        <v>1</v>
      </c>
      <c r="L106" s="28">
        <f t="shared" si="20"/>
        <v>1</v>
      </c>
      <c r="M106" s="28">
        <f t="shared" si="20"/>
        <v>1</v>
      </c>
      <c r="N106" s="28">
        <f t="shared" si="20"/>
        <v>0</v>
      </c>
      <c r="O106" s="28">
        <f t="shared" si="20"/>
        <v>0</v>
      </c>
      <c r="P106" s="28">
        <f t="shared" si="20"/>
        <v>0</v>
      </c>
      <c r="Q106" s="28">
        <f t="shared" si="20"/>
        <v>0</v>
      </c>
      <c r="R106" s="28">
        <f t="shared" si="20"/>
        <v>0</v>
      </c>
      <c r="S106" s="28">
        <f t="shared" si="20"/>
        <v>0</v>
      </c>
      <c r="T106" s="28">
        <f t="shared" si="20"/>
        <v>0</v>
      </c>
      <c r="U106" s="28">
        <f t="shared" si="20"/>
        <v>0</v>
      </c>
      <c r="V106" s="28">
        <f t="shared" si="20"/>
        <v>0</v>
      </c>
      <c r="W106" s="28">
        <f t="shared" si="20"/>
        <v>0</v>
      </c>
    </row>
    <row r="107" spans="1:23" ht="15" customHeight="1" x14ac:dyDescent="0.2">
      <c r="A107" s="4" t="s">
        <v>2149</v>
      </c>
      <c r="D107" s="48">
        <f t="shared" ref="D107:W107" si="21">MAX(Price_floor,Compute_P0*(1-Price_decline)^$C$115)</f>
        <v>2.5</v>
      </c>
      <c r="E107" s="48">
        <f t="shared" si="21"/>
        <v>2.5</v>
      </c>
      <c r="F107" s="48">
        <f t="shared" si="21"/>
        <v>2.5</v>
      </c>
      <c r="G107" s="48">
        <f t="shared" si="21"/>
        <v>2.5</v>
      </c>
      <c r="H107" s="48">
        <f t="shared" si="21"/>
        <v>2.5</v>
      </c>
      <c r="I107" s="48">
        <f t="shared" si="21"/>
        <v>2.5</v>
      </c>
      <c r="J107" s="48">
        <f t="shared" si="21"/>
        <v>2.5</v>
      </c>
      <c r="K107" s="48">
        <f t="shared" si="21"/>
        <v>2.5</v>
      </c>
      <c r="L107" s="48">
        <f t="shared" si="21"/>
        <v>2.5</v>
      </c>
      <c r="M107" s="48">
        <f t="shared" si="21"/>
        <v>2.5</v>
      </c>
      <c r="N107" s="48">
        <f t="shared" si="21"/>
        <v>2.5</v>
      </c>
      <c r="O107" s="48">
        <f t="shared" si="21"/>
        <v>2.5</v>
      </c>
      <c r="P107" s="48">
        <f t="shared" si="21"/>
        <v>2.5</v>
      </c>
      <c r="Q107" s="48">
        <f t="shared" si="21"/>
        <v>2.5</v>
      </c>
      <c r="R107" s="48">
        <f t="shared" si="21"/>
        <v>2.5</v>
      </c>
      <c r="S107" s="48">
        <f t="shared" si="21"/>
        <v>2.5</v>
      </c>
      <c r="T107" s="48">
        <f t="shared" si="21"/>
        <v>2.5</v>
      </c>
      <c r="U107" s="48">
        <f t="shared" si="21"/>
        <v>2.5</v>
      </c>
      <c r="V107" s="48">
        <f t="shared" si="21"/>
        <v>2.5</v>
      </c>
      <c r="W107" s="48">
        <f t="shared" si="21"/>
        <v>2.5</v>
      </c>
    </row>
    <row r="108" spans="1:23" ht="15" customHeight="1" x14ac:dyDescent="0.2">
      <c r="A108" s="4" t="s">
        <v>2150</v>
      </c>
      <c r="D108" s="54">
        <f t="shared" ref="D108:W108" si="22">$C$103*D107/Compute_P0*D106</f>
        <v>0</v>
      </c>
      <c r="E108" s="54">
        <f t="shared" si="22"/>
        <v>0</v>
      </c>
      <c r="F108" s="54">
        <f t="shared" si="22"/>
        <v>0</v>
      </c>
      <c r="G108" s="54">
        <f t="shared" si="22"/>
        <v>0</v>
      </c>
      <c r="H108" s="54">
        <f t="shared" si="22"/>
        <v>0</v>
      </c>
      <c r="I108" s="54">
        <f t="shared" si="22"/>
        <v>751.60800000000017</v>
      </c>
      <c r="J108" s="54">
        <f t="shared" si="22"/>
        <v>982.87200000000007</v>
      </c>
      <c r="K108" s="54">
        <f t="shared" si="22"/>
        <v>1156.3200000000002</v>
      </c>
      <c r="L108" s="54">
        <f t="shared" si="22"/>
        <v>1156.3200000000002</v>
      </c>
      <c r="M108" s="54">
        <f t="shared" si="22"/>
        <v>1156.3200000000002</v>
      </c>
      <c r="N108" s="54">
        <f t="shared" si="22"/>
        <v>0</v>
      </c>
      <c r="O108" s="54">
        <f t="shared" si="22"/>
        <v>0</v>
      </c>
      <c r="P108" s="54">
        <f t="shared" si="22"/>
        <v>0</v>
      </c>
      <c r="Q108" s="54">
        <f t="shared" si="22"/>
        <v>0</v>
      </c>
      <c r="R108" s="54">
        <f t="shared" si="22"/>
        <v>0</v>
      </c>
      <c r="S108" s="54">
        <f t="shared" si="22"/>
        <v>0</v>
      </c>
      <c r="T108" s="54">
        <f t="shared" si="22"/>
        <v>0</v>
      </c>
      <c r="U108" s="54">
        <f t="shared" si="22"/>
        <v>0</v>
      </c>
      <c r="V108" s="54">
        <f t="shared" si="22"/>
        <v>0</v>
      </c>
      <c r="W108" s="54">
        <f t="shared" si="22"/>
        <v>0</v>
      </c>
    </row>
    <row r="109" spans="1:23" ht="15" customHeight="1" x14ac:dyDescent="0.2">
      <c r="A109" s="4" t="s">
        <v>42</v>
      </c>
      <c r="D109" s="54">
        <f t="shared" ref="D109:W109" si="23">D108-$C$97*D106-$C$98*D105</f>
        <v>0</v>
      </c>
      <c r="E109" s="54">
        <f t="shared" si="23"/>
        <v>0</v>
      </c>
      <c r="F109" s="54">
        <f t="shared" si="23"/>
        <v>0</v>
      </c>
      <c r="G109" s="54">
        <f t="shared" si="23"/>
        <v>0</v>
      </c>
      <c r="H109" s="54">
        <f t="shared" si="23"/>
        <v>0</v>
      </c>
      <c r="I109" s="54">
        <f t="shared" si="23"/>
        <v>611.04438400000015</v>
      </c>
      <c r="J109" s="54">
        <f t="shared" si="23"/>
        <v>830.28265600000009</v>
      </c>
      <c r="K109" s="54">
        <f t="shared" si="23"/>
        <v>994.71136000000024</v>
      </c>
      <c r="L109" s="54">
        <f t="shared" si="23"/>
        <v>994.71136000000024</v>
      </c>
      <c r="M109" s="54">
        <f t="shared" si="23"/>
        <v>994.71136000000024</v>
      </c>
      <c r="N109" s="54">
        <f t="shared" si="23"/>
        <v>0</v>
      </c>
      <c r="O109" s="54">
        <f t="shared" si="23"/>
        <v>0</v>
      </c>
      <c r="P109" s="54">
        <f t="shared" si="23"/>
        <v>0</v>
      </c>
      <c r="Q109" s="54">
        <f t="shared" si="23"/>
        <v>0</v>
      </c>
      <c r="R109" s="54">
        <f t="shared" si="23"/>
        <v>0</v>
      </c>
      <c r="S109" s="54">
        <f t="shared" si="23"/>
        <v>0</v>
      </c>
      <c r="T109" s="54">
        <f t="shared" si="23"/>
        <v>0</v>
      </c>
      <c r="U109" s="54">
        <f t="shared" si="23"/>
        <v>0</v>
      </c>
      <c r="V109" s="54">
        <f t="shared" si="23"/>
        <v>0</v>
      </c>
      <c r="W109" s="54">
        <f t="shared" si="23"/>
        <v>0</v>
      </c>
    </row>
    <row r="110" spans="1:23" ht="15" customHeight="1" x14ac:dyDescent="0.2">
      <c r="A110" s="4" t="s">
        <v>2151</v>
      </c>
      <c r="D110" s="54">
        <f>-($C$101*Calculations!$C$15+$C$102/GPU_life)*D105</f>
        <v>0</v>
      </c>
      <c r="E110" s="54">
        <f>-($C$101*Calculations!$C$15+$C$102/GPU_life)*E105</f>
        <v>0</v>
      </c>
      <c r="F110" s="54">
        <f>-($C$101*Calculations!$C$15+$C$102/GPU_life)*F105</f>
        <v>0</v>
      </c>
      <c r="G110" s="54">
        <f>-($C$101*Calculations!$C$15+$C$102/GPU_life)*G105</f>
        <v>0</v>
      </c>
      <c r="H110" s="54">
        <f>-($C$101*Calculations!$C$15+$C$102/GPU_life)*H105</f>
        <v>0</v>
      </c>
      <c r="I110" s="54">
        <f>-($C$101*Calculations!$C$15+$C$102/GPU_life)*I105</f>
        <v>-616.34666666666669</v>
      </c>
      <c r="J110" s="54">
        <f>-($C$101*Calculations!$C$15+$C$102/GPU_life)*J105</f>
        <v>-616.34666666666669</v>
      </c>
      <c r="K110" s="54">
        <f>-($C$101*Calculations!$C$15+$C$102/GPU_life)*K105</f>
        <v>-616.34666666666669</v>
      </c>
      <c r="L110" s="54">
        <f>-($C$101*Calculations!$C$15+$C$102/GPU_life)*L105</f>
        <v>-616.34666666666669</v>
      </c>
      <c r="M110" s="54">
        <f>-($C$101*Calculations!$C$15+$C$102/GPU_life)*M105</f>
        <v>-616.34666666666669</v>
      </c>
      <c r="N110" s="54">
        <f>-($C$101*Calculations!$C$15+$C$102/GPU_life)*N105</f>
        <v>0</v>
      </c>
      <c r="O110" s="54">
        <f>-($C$101*Calculations!$C$15+$C$102/GPU_life)*O105</f>
        <v>0</v>
      </c>
      <c r="P110" s="54">
        <f>-($C$101*Calculations!$C$15+$C$102/GPU_life)*P105</f>
        <v>0</v>
      </c>
      <c r="Q110" s="54">
        <f>-($C$101*Calculations!$C$15+$C$102/GPU_life)*Q105</f>
        <v>0</v>
      </c>
      <c r="R110" s="54">
        <f>-($C$101*Calculations!$C$15+$C$102/GPU_life)*R105</f>
        <v>0</v>
      </c>
      <c r="S110" s="54">
        <f>-($C$101*Calculations!$C$15+$C$102/GPU_life)*S105</f>
        <v>0</v>
      </c>
      <c r="T110" s="54">
        <f>-($C$101*Calculations!$C$15+$C$102/GPU_life)*T105</f>
        <v>0</v>
      </c>
      <c r="U110" s="54">
        <f>-($C$101*Calculations!$C$15+$C$102/GPU_life)*U105</f>
        <v>0</v>
      </c>
      <c r="V110" s="54">
        <f>-($C$101*Calculations!$C$15+$C$102/GPU_life)*V105</f>
        <v>0</v>
      </c>
      <c r="W110" s="54">
        <f>-($C$101*Calculations!$C$15+$C$102/GPU_life)*W105</f>
        <v>0</v>
      </c>
    </row>
    <row r="111" spans="1:23" ht="15" customHeight="1" x14ac:dyDescent="0.2">
      <c r="A111" s="4" t="s">
        <v>2152</v>
      </c>
      <c r="D111" s="54">
        <f t="shared" ref="D111:W111" si="24">-$C$100*MAX(D109+D110,0)</f>
        <v>0</v>
      </c>
      <c r="E111" s="54">
        <f t="shared" si="24"/>
        <v>0</v>
      </c>
      <c r="F111" s="54">
        <f t="shared" si="24"/>
        <v>0</v>
      </c>
      <c r="G111" s="54">
        <f t="shared" si="24"/>
        <v>0</v>
      </c>
      <c r="H111" s="54">
        <f t="shared" si="24"/>
        <v>0</v>
      </c>
      <c r="I111" s="54">
        <f t="shared" si="24"/>
        <v>0</v>
      </c>
      <c r="J111" s="54">
        <f t="shared" si="24"/>
        <v>-44.926557760000009</v>
      </c>
      <c r="K111" s="54">
        <f t="shared" si="24"/>
        <v>-79.456585600000039</v>
      </c>
      <c r="L111" s="54">
        <f t="shared" si="24"/>
        <v>-79.456585600000039</v>
      </c>
      <c r="M111" s="54">
        <f t="shared" si="24"/>
        <v>-79.456585600000039</v>
      </c>
      <c r="N111" s="54">
        <f t="shared" si="24"/>
        <v>0</v>
      </c>
      <c r="O111" s="54">
        <f t="shared" si="24"/>
        <v>0</v>
      </c>
      <c r="P111" s="54">
        <f t="shared" si="24"/>
        <v>0</v>
      </c>
      <c r="Q111" s="54">
        <f t="shared" si="24"/>
        <v>0</v>
      </c>
      <c r="R111" s="54">
        <f t="shared" si="24"/>
        <v>0</v>
      </c>
      <c r="S111" s="54">
        <f t="shared" si="24"/>
        <v>0</v>
      </c>
      <c r="T111" s="54">
        <f t="shared" si="24"/>
        <v>0</v>
      </c>
      <c r="U111" s="54">
        <f t="shared" si="24"/>
        <v>0</v>
      </c>
      <c r="V111" s="54">
        <f t="shared" si="24"/>
        <v>0</v>
      </c>
      <c r="W111" s="54">
        <f t="shared" si="24"/>
        <v>0</v>
      </c>
    </row>
    <row r="112" spans="1:23" ht="15" customHeight="1" x14ac:dyDescent="0.2">
      <c r="A112" s="4" t="s">
        <v>2153</v>
      </c>
      <c r="D112" s="54">
        <f>D109+D111-$C$101*IF($C$94=0,--(D$3=0),--(D$3&lt;=$C$94-1)/$C$94)-$C$101*Assumptions!$F$38*IF(AND(D$3&gt;=1,D$3&lt;=$C$94),1,0)-$C$102*(D$3=$C$94)+($C$101*Facility_salvage_pct+$C$102*GPU_salvage_pct*(1-$C$100))*(D$3=$C$94+GPU_life-1)</f>
        <v>-352.00000000000006</v>
      </c>
      <c r="E112" s="54">
        <f>E109+E111-$C$101*IF($C$94=0,--(E$3=0),--(E$3&lt;=$C$94-1)/$C$94)-$C$101*Assumptions!$F$38*IF(AND(E$3&gt;=1,E$3&lt;=$C$94),1,0)-$C$102*(E$3=$C$94)+($C$101*Facility_salvage_pct+$C$102*GPU_salvage_pct*(1-$C$100))*(E$3=$C$94+GPU_life-1)</f>
        <v>-378.40000000000003</v>
      </c>
      <c r="F112" s="54">
        <f>F109+F111-$C$101*IF($C$94=0,--(F$3=0),--(F$3&lt;=$C$94-1)/$C$94)-$C$101*Assumptions!$F$38*IF(AND(F$3&gt;=1,F$3&lt;=$C$94),1,0)-$C$102*(F$3=$C$94)+($C$101*Facility_salvage_pct+$C$102*GPU_salvage_pct*(1-$C$100))*(F$3=$C$94+GPU_life-1)</f>
        <v>-378.40000000000003</v>
      </c>
      <c r="G112" s="54">
        <f>G109+G111-$C$101*IF($C$94=0,--(G$3=0),--(G$3&lt;=$C$94-1)/$C$94)-$C$101*Assumptions!$F$38*IF(AND(G$3&gt;=1,G$3&lt;=$C$94),1,0)-$C$102*(G$3=$C$94)+($C$101*Facility_salvage_pct+$C$102*GPU_salvage_pct*(1-$C$100))*(G$3=$C$94+GPU_life-1)</f>
        <v>-378.40000000000003</v>
      </c>
      <c r="H112" s="54">
        <f>H109+H111-$C$101*IF($C$94=0,--(H$3=0),--(H$3&lt;=$C$94-1)/$C$94)-$C$101*Assumptions!$F$38*IF(AND(H$3&gt;=1,H$3&lt;=$C$94),1,0)-$C$102*(H$3=$C$94)+($C$101*Facility_salvage_pct+$C$102*GPU_salvage_pct*(1-$C$100))*(H$3=$C$94+GPU_life-1)</f>
        <v>-378.40000000000003</v>
      </c>
      <c r="I112" s="54">
        <f>I109+I111-$C$101*IF($C$94=0,--(I$3=0),--(I$3&lt;=$C$94-1)/$C$94)-$C$101*Assumptions!$F$38*IF(AND(I$3&gt;=1,I$3&lt;=$C$94),1,0)-$C$102*(I$3=$C$94)+($C$101*Facility_salvage_pct+$C$102*GPU_salvage_pct*(1-$C$100))*(I$3=$C$94+GPU_life-1)</f>
        <v>-1935.3556159999998</v>
      </c>
      <c r="J112" s="54">
        <f>J109+J111-$C$101*IF($C$94=0,--(J$3=0),--(J$3&lt;=$C$94-1)/$C$94)-$C$101*Assumptions!$F$38*IF(AND(J$3&gt;=1,J$3&lt;=$C$94),1,0)-$C$102*(J$3=$C$94)+($C$101*Facility_salvage_pct+$C$102*GPU_salvage_pct*(1-$C$100))*(J$3=$C$94+GPU_life-1)</f>
        <v>785.35609824000005</v>
      </c>
      <c r="K112" s="54">
        <f>K109+K111-$C$101*IF($C$94=0,--(K$3=0),--(K$3&lt;=$C$94-1)/$C$94)-$C$101*Assumptions!$F$38*IF(AND(K$3&gt;=1,K$3&lt;=$C$94),1,0)-$C$102*(K$3=$C$94)+($C$101*Facility_salvage_pct+$C$102*GPU_salvage_pct*(1-$C$100))*(K$3=$C$94+GPU_life-1)</f>
        <v>915.2547744000002</v>
      </c>
      <c r="L112" s="54">
        <f>L109+L111-$C$101*IF($C$94=0,--(L$3=0),--(L$3&lt;=$C$94-1)/$C$94)-$C$101*Assumptions!$F$38*IF(AND(L$3&gt;=1,L$3&lt;=$C$94),1,0)-$C$102*(L$3=$C$94)+($C$101*Facility_salvage_pct+$C$102*GPU_salvage_pct*(1-$C$100))*(L$3=$C$94+GPU_life-1)</f>
        <v>915.2547744000002</v>
      </c>
      <c r="M112" s="54">
        <f>M109+M111-$C$101*IF($C$94=0,--(M$3=0),--(M$3&lt;=$C$94-1)/$C$94)-$C$101*Assumptions!$F$38*IF(AND(M$3&gt;=1,M$3&lt;=$C$94),1,0)-$C$102*(M$3=$C$94)+($C$101*Facility_salvage_pct+$C$102*GPU_salvage_pct*(1-$C$100))*(M$3=$C$94+GPU_life-1)</f>
        <v>1906.3347744000002</v>
      </c>
      <c r="N112" s="54">
        <f>N109+N111-$C$101*IF($C$94=0,--(N$3=0),--(N$3&lt;=$C$94-1)/$C$94)-$C$101*Assumptions!$F$38*IF(AND(N$3&gt;=1,N$3&lt;=$C$94),1,0)-$C$102*(N$3=$C$94)+($C$101*Facility_salvage_pct+$C$102*GPU_salvage_pct*(1-$C$100))*(N$3=$C$94+GPU_life-1)</f>
        <v>0</v>
      </c>
      <c r="O112" s="54">
        <f>O109+O111-$C$101*IF($C$94=0,--(O$3=0),--(O$3&lt;=$C$94-1)/$C$94)-$C$101*Assumptions!$F$38*IF(AND(O$3&gt;=1,O$3&lt;=$C$94),1,0)-$C$102*(O$3=$C$94)+($C$101*Facility_salvage_pct+$C$102*GPU_salvage_pct*(1-$C$100))*(O$3=$C$94+GPU_life-1)</f>
        <v>0</v>
      </c>
      <c r="P112" s="54">
        <f>P109+P111-$C$101*IF($C$94=0,--(P$3=0),--(P$3&lt;=$C$94-1)/$C$94)-$C$101*Assumptions!$F$38*IF(AND(P$3&gt;=1,P$3&lt;=$C$94),1,0)-$C$102*(P$3=$C$94)+($C$101*Facility_salvage_pct+$C$102*GPU_salvage_pct*(1-$C$100))*(P$3=$C$94+GPU_life-1)</f>
        <v>0</v>
      </c>
      <c r="Q112" s="54">
        <f>Q109+Q111-$C$101*IF($C$94=0,--(Q$3=0),--(Q$3&lt;=$C$94-1)/$C$94)-$C$101*Assumptions!$F$38*IF(AND(Q$3&gt;=1,Q$3&lt;=$C$94),1,0)-$C$102*(Q$3=$C$94)+($C$101*Facility_salvage_pct+$C$102*GPU_salvage_pct*(1-$C$100))*(Q$3=$C$94+GPU_life-1)</f>
        <v>0</v>
      </c>
      <c r="R112" s="54">
        <f>R109+R111-$C$101*IF($C$94=0,--(R$3=0),--(R$3&lt;=$C$94-1)/$C$94)-$C$101*Assumptions!$F$38*IF(AND(R$3&gt;=1,R$3&lt;=$C$94),1,0)-$C$102*(R$3=$C$94)+($C$101*Facility_salvage_pct+$C$102*GPU_salvage_pct*(1-$C$100))*(R$3=$C$94+GPU_life-1)</f>
        <v>0</v>
      </c>
      <c r="S112" s="54">
        <f>S109+S111-$C$101*IF($C$94=0,--(S$3=0),--(S$3&lt;=$C$94-1)/$C$94)-$C$101*Assumptions!$F$38*IF(AND(S$3&gt;=1,S$3&lt;=$C$94),1,0)-$C$102*(S$3=$C$94)+($C$101*Facility_salvage_pct+$C$102*GPU_salvage_pct*(1-$C$100))*(S$3=$C$94+GPU_life-1)</f>
        <v>0</v>
      </c>
      <c r="T112" s="54">
        <f>T109+T111-$C$101*IF($C$94=0,--(T$3=0),--(T$3&lt;=$C$94-1)/$C$94)-$C$101*Assumptions!$F$38*IF(AND(T$3&gt;=1,T$3&lt;=$C$94),1,0)-$C$102*(T$3=$C$94)+($C$101*Facility_salvage_pct+$C$102*GPU_salvage_pct*(1-$C$100))*(T$3=$C$94+GPU_life-1)</f>
        <v>0</v>
      </c>
      <c r="U112" s="54">
        <f>U109+U111-$C$101*IF($C$94=0,--(U$3=0),--(U$3&lt;=$C$94-1)/$C$94)-$C$101*Assumptions!$F$38*IF(AND(U$3&gt;=1,U$3&lt;=$C$94),1,0)-$C$102*(U$3=$C$94)+($C$101*Facility_salvage_pct+$C$102*GPU_salvage_pct*(1-$C$100))*(U$3=$C$94+GPU_life-1)</f>
        <v>0</v>
      </c>
      <c r="V112" s="54">
        <f>V109+V111-$C$101*IF($C$94=0,--(V$3=0),--(V$3&lt;=$C$94-1)/$C$94)-$C$101*Assumptions!$F$38*IF(AND(V$3&gt;=1,V$3&lt;=$C$94),1,0)-$C$102*(V$3=$C$94)+($C$101*Facility_salvage_pct+$C$102*GPU_salvage_pct*(1-$C$100))*(V$3=$C$94+GPU_life-1)</f>
        <v>0</v>
      </c>
      <c r="W112" s="54">
        <f>W109+W111-$C$101*IF($C$94=0,--(W$3=0),--(W$3&lt;=$C$94-1)/$C$94)-$C$101*Assumptions!$F$38*IF(AND(W$3&gt;=1,W$3&lt;=$C$94),1,0)-$C$102*(W$3=$C$94)+($C$101*Facility_salvage_pct+$C$102*GPU_salvage_pct*(1-$C$100))*(W$3=$C$94+GPU_life-1)</f>
        <v>0</v>
      </c>
    </row>
    <row r="113" spans="1:23" ht="15" customHeight="1" x14ac:dyDescent="0.2">
      <c r="A113" s="4" t="s">
        <v>2154</v>
      </c>
      <c r="D113" s="54">
        <f t="shared" ref="D113:W113" si="25">D112*$C$96^D$3</f>
        <v>-352.00000000000006</v>
      </c>
      <c r="E113" s="54">
        <f t="shared" si="25"/>
        <v>-355.83975926274218</v>
      </c>
      <c r="F113" s="54">
        <f t="shared" si="25"/>
        <v>-334.62456203003785</v>
      </c>
      <c r="G113" s="54">
        <f t="shared" si="25"/>
        <v>-314.67421669177907</v>
      </c>
      <c r="H113" s="54">
        <f t="shared" si="25"/>
        <v>-295.91331266859044</v>
      </c>
      <c r="I113" s="54">
        <f t="shared" si="25"/>
        <v>-1423.2378898807181</v>
      </c>
      <c r="J113" s="54">
        <f t="shared" si="25"/>
        <v>543.10860586024216</v>
      </c>
      <c r="K113" s="54">
        <f t="shared" si="25"/>
        <v>595.20341071372047</v>
      </c>
      <c r="L113" s="54">
        <f t="shared" si="25"/>
        <v>559.71733187297411</v>
      </c>
      <c r="M113" s="54">
        <f t="shared" si="25"/>
        <v>1096.2996269399941</v>
      </c>
      <c r="N113" s="54">
        <f t="shared" si="25"/>
        <v>0</v>
      </c>
      <c r="O113" s="54">
        <f t="shared" si="25"/>
        <v>0</v>
      </c>
      <c r="P113" s="54">
        <f t="shared" si="25"/>
        <v>0</v>
      </c>
      <c r="Q113" s="54">
        <f t="shared" si="25"/>
        <v>0</v>
      </c>
      <c r="R113" s="54">
        <f t="shared" si="25"/>
        <v>0</v>
      </c>
      <c r="S113" s="54">
        <f t="shared" si="25"/>
        <v>0</v>
      </c>
      <c r="T113" s="54">
        <f t="shared" si="25"/>
        <v>0</v>
      </c>
      <c r="U113" s="54">
        <f t="shared" si="25"/>
        <v>0</v>
      </c>
      <c r="V113" s="54">
        <f t="shared" si="25"/>
        <v>0</v>
      </c>
      <c r="W113" s="54">
        <f t="shared" si="25"/>
        <v>0</v>
      </c>
    </row>
    <row r="114" spans="1:23" ht="15" customHeight="1" x14ac:dyDescent="0.2">
      <c r="A114" s="4" t="s">
        <v>2155</v>
      </c>
      <c r="D114" s="54">
        <f t="shared" ref="D114:W114" si="26">(D108-$C$97*D106)*(1-$C$100)*$C$96^D$3</f>
        <v>0</v>
      </c>
      <c r="E114" s="54">
        <f t="shared" si="26"/>
        <v>0</v>
      </c>
      <c r="F114" s="54">
        <f t="shared" si="26"/>
        <v>0</v>
      </c>
      <c r="G114" s="54">
        <f t="shared" si="26"/>
        <v>0</v>
      </c>
      <c r="H114" s="54">
        <f t="shared" si="26"/>
        <v>0</v>
      </c>
      <c r="I114" s="54">
        <f t="shared" si="26"/>
        <v>413.94585934869752</v>
      </c>
      <c r="J114" s="54">
        <f t="shared" si="26"/>
        <v>509.04063952545954</v>
      </c>
      <c r="K114" s="54">
        <f t="shared" si="26"/>
        <v>563.16657947920601</v>
      </c>
      <c r="L114" s="54">
        <f t="shared" si="26"/>
        <v>529.59053928832623</v>
      </c>
      <c r="M114" s="54">
        <f t="shared" si="26"/>
        <v>498.01630551845614</v>
      </c>
      <c r="N114" s="54">
        <f t="shared" si="26"/>
        <v>0</v>
      </c>
      <c r="O114" s="54">
        <f t="shared" si="26"/>
        <v>0</v>
      </c>
      <c r="P114" s="54">
        <f t="shared" si="26"/>
        <v>0</v>
      </c>
      <c r="Q114" s="54">
        <f t="shared" si="26"/>
        <v>0</v>
      </c>
      <c r="R114" s="54">
        <f t="shared" si="26"/>
        <v>0</v>
      </c>
      <c r="S114" s="54">
        <f t="shared" si="26"/>
        <v>0</v>
      </c>
      <c r="T114" s="54">
        <f t="shared" si="26"/>
        <v>0</v>
      </c>
      <c r="U114" s="54">
        <f t="shared" si="26"/>
        <v>0</v>
      </c>
      <c r="V114" s="54">
        <f t="shared" si="26"/>
        <v>0</v>
      </c>
      <c r="W114" s="54">
        <f t="shared" si="26"/>
        <v>0</v>
      </c>
    </row>
    <row r="115" spans="1:23" ht="15" customHeight="1" x14ac:dyDescent="0.2">
      <c r="A115" t="s">
        <v>2156</v>
      </c>
      <c r="C115" s="57">
        <f>INDEX(Assumptions!$F$50:$H$54,$C$99,MATCH(Assumptions!$B$4,Assumptions!$D$9:$F$9,0))</f>
        <v>4.5</v>
      </c>
    </row>
    <row r="116" spans="1:23" ht="15" customHeight="1" x14ac:dyDescent="0.2">
      <c r="A116" s="22" t="s">
        <v>2157</v>
      </c>
      <c r="C116" s="51">
        <f>SUM(D113:W113)</f>
        <v>-281.96076514693641</v>
      </c>
    </row>
    <row r="117" spans="1:23" ht="15" customHeight="1" x14ac:dyDescent="0.2">
      <c r="A117" s="4" t="s">
        <v>2158</v>
      </c>
      <c r="C117" s="48">
        <f>SUM(D114:W114)</f>
        <v>2513.7599231601453</v>
      </c>
    </row>
    <row r="118" spans="1:23" ht="15" customHeight="1" x14ac:dyDescent="0.2">
      <c r="A118" s="4" t="s">
        <v>63</v>
      </c>
      <c r="C118" s="31">
        <f>IF(C117&lt;=0,"n/a",IF(Assumptions!$C$45*(1-C116/C117)&gt;1,"&gt;100% (never)",Assumptions!$C$45*(1-C116/C117)))</f>
        <v>0.97870690953548811</v>
      </c>
    </row>
    <row r="120" spans="1:23" ht="15" customHeight="1" x14ac:dyDescent="0.2">
      <c r="A120" s="5"/>
      <c r="C120" s="48"/>
    </row>
    <row r="121" spans="1:23" ht="15" customHeight="1" x14ac:dyDescent="0.2">
      <c r="A121" s="5"/>
      <c r="C121" s="48"/>
    </row>
    <row r="122" spans="1:23" ht="15" customHeight="1" x14ac:dyDescent="0.2">
      <c r="A122" s="5"/>
      <c r="C122" s="28"/>
    </row>
    <row r="123" spans="1:23" ht="15" customHeight="1" x14ac:dyDescent="0.2">
      <c r="A123" s="5"/>
      <c r="C123" s="28"/>
    </row>
    <row r="124" spans="1:23" ht="15" customHeight="1" x14ac:dyDescent="0.2">
      <c r="A124" s="5"/>
      <c r="C124" s="48"/>
    </row>
    <row r="125" spans="1:23" ht="15" customHeight="1" x14ac:dyDescent="0.2">
      <c r="A125" s="5"/>
      <c r="C125" s="48"/>
    </row>
    <row r="126" spans="1:23" ht="15" customHeight="1" x14ac:dyDescent="0.2">
      <c r="A126" s="5"/>
      <c r="C126" s="48"/>
    </row>
    <row r="127" spans="1:23" ht="15" customHeight="1" x14ac:dyDescent="0.2">
      <c r="A127" s="5"/>
      <c r="C127" s="48"/>
    </row>
    <row r="128" spans="1:23" ht="15" customHeight="1" x14ac:dyDescent="0.2">
      <c r="A128" s="5"/>
      <c r="C128" s="48"/>
    </row>
    <row r="129" spans="1:3" ht="15" customHeight="1" x14ac:dyDescent="0.2">
      <c r="A129" s="5"/>
      <c r="C129" s="48"/>
    </row>
    <row r="130" spans="1:3" ht="15" customHeight="1" x14ac:dyDescent="0.2">
      <c r="A130" s="5"/>
      <c r="C130" s="48"/>
    </row>
    <row r="131" spans="1:3" ht="15" customHeight="1" x14ac:dyDescent="0.2">
      <c r="A131" s="5"/>
      <c r="C131" s="48"/>
    </row>
    <row r="132" spans="1:3" ht="15" customHeight="1" x14ac:dyDescent="0.2">
      <c r="A132" s="5"/>
      <c r="C132" s="48"/>
    </row>
    <row r="133" spans="1:3" ht="15" customHeight="1" x14ac:dyDescent="0.2">
      <c r="A133" s="5"/>
      <c r="C133" s="48"/>
    </row>
    <row r="134" spans="1:3" ht="15" customHeight="1" x14ac:dyDescent="0.2">
      <c r="A134" s="5"/>
      <c r="C134" s="48"/>
    </row>
    <row r="137" spans="1:3" ht="15" customHeight="1" x14ac:dyDescent="0.2">
      <c r="A137" s="7" t="s">
        <v>2161</v>
      </c>
      <c r="B137" s="4" t="s">
        <v>242</v>
      </c>
    </row>
    <row r="138" spans="1:3" ht="15" customHeight="1" x14ac:dyDescent="0.2">
      <c r="A138" s="4" t="s">
        <v>2137</v>
      </c>
      <c r="C138" s="28">
        <f>ROUND($C$159,0)</f>
        <v>5</v>
      </c>
    </row>
    <row r="139" spans="1:3" ht="15" customHeight="1" x14ac:dyDescent="0.2">
      <c r="A139" s="4" t="s">
        <v>2138</v>
      </c>
      <c r="C139" s="28">
        <f>INDEX(Assumptions!$I$50:$K$54,$C$143,MATCH(Assumptions!$B$4,Assumptions!$D$9:$F$9,0))+Assumptions!$D$46</f>
        <v>0.1084</v>
      </c>
    </row>
    <row r="140" spans="1:3" ht="15" customHeight="1" x14ac:dyDescent="0.2">
      <c r="A140" s="4" t="s">
        <v>2139</v>
      </c>
      <c r="C140" s="28">
        <f>1/(1+$C$139)</f>
        <v>0.90220137134608436</v>
      </c>
    </row>
    <row r="141" spans="1:3" ht="15" customHeight="1" x14ac:dyDescent="0.2">
      <c r="A141" s="4" t="s">
        <v>2140</v>
      </c>
      <c r="C141" s="48">
        <f>IT_load_MW*INDEX(Assumptions!$M$50:$M$54,$C$143,1)*Hours_per_year*INDEX(Assumptions!$C$50:$E$54,$C$143,MATCH(Assumptions!$B$4,Assumptions!$D$9:$F$9,0))*Assumptions!$D$45/Unit_scale</f>
        <v>47.829599999999999</v>
      </c>
    </row>
    <row r="142" spans="1:3" ht="15" customHeight="1" x14ac:dyDescent="0.2">
      <c r="A142" s="4" t="s">
        <v>2141</v>
      </c>
      <c r="C142" s="48">
        <f>IT_load_MW*OM_fixed+Insurance_rate*Calculations!$C$6+INDEX(Assumptions!$O$50:$O$54,$C$143,1)*($C$145+Calculations!$C$6)*(1-Prop_tax_abatement)</f>
        <v>101.48</v>
      </c>
    </row>
    <row r="143" spans="1:3" ht="15" customHeight="1" x14ac:dyDescent="0.2">
      <c r="A143" s="4" t="s">
        <v>2142</v>
      </c>
      <c r="C143" s="48">
        <f>MATCH($B$137,Assumptions!$B$50:$B$54,0)</f>
        <v>2</v>
      </c>
    </row>
    <row r="144" spans="1:3" ht="15" customHeight="1" x14ac:dyDescent="0.2">
      <c r="A144" s="4" t="s">
        <v>2143</v>
      </c>
      <c r="C144" s="28">
        <f>INDEX(Assumptions!$L$50:$L$54,MATCH($B$137,Assumptions!$B$50:$B$54,0),1)</f>
        <v>0.21</v>
      </c>
    </row>
    <row r="145" spans="1:23" ht="15" customHeight="1" x14ac:dyDescent="0.2">
      <c r="A145" s="4" t="s">
        <v>2144</v>
      </c>
      <c r="C145" s="48">
        <f>IT_load_MW*(Facility_capex_MW+INDEX(Assumptions!$N$50:$N$54,$C$143,1))</f>
        <v>1760.0000000000002</v>
      </c>
    </row>
    <row r="146" spans="1:23" ht="15" customHeight="1" x14ac:dyDescent="0.2">
      <c r="A146" s="4" t="s">
        <v>2145</v>
      </c>
      <c r="C146" s="50">
        <f>Calculations!$C$6</f>
        <v>2520</v>
      </c>
    </row>
    <row r="147" spans="1:23" ht="15" customHeight="1" x14ac:dyDescent="0.2">
      <c r="A147" s="4" t="s">
        <v>2146</v>
      </c>
      <c r="C147" s="48">
        <f>IT_load_MW*Assumptions!$G$12*Hours_per_year*Assumptions!$D$45/Unit_scale*Compute_P0</f>
        <v>2097.1440000000002</v>
      </c>
    </row>
    <row r="148" spans="1:23" ht="15" customHeight="1" x14ac:dyDescent="0.2">
      <c r="A148" s="4" t="s">
        <v>2147</v>
      </c>
      <c r="D148" s="4">
        <f t="shared" ref="D148:W148" si="27">IF(D$3&lt;$C$138,0,IF(D$3&lt;=$C$138+GPU_life-1,1,0))</f>
        <v>0</v>
      </c>
      <c r="E148" s="4">
        <f t="shared" si="27"/>
        <v>0</v>
      </c>
      <c r="F148" s="4">
        <f t="shared" si="27"/>
        <v>0</v>
      </c>
      <c r="G148" s="4">
        <f t="shared" si="27"/>
        <v>0</v>
      </c>
      <c r="H148" s="4">
        <f t="shared" si="27"/>
        <v>0</v>
      </c>
      <c r="I148" s="4">
        <f t="shared" si="27"/>
        <v>1</v>
      </c>
      <c r="J148" s="4">
        <f t="shared" si="27"/>
        <v>1</v>
      </c>
      <c r="K148" s="4">
        <f t="shared" si="27"/>
        <v>1</v>
      </c>
      <c r="L148" s="4">
        <f t="shared" si="27"/>
        <v>1</v>
      </c>
      <c r="M148" s="4">
        <f t="shared" si="27"/>
        <v>1</v>
      </c>
      <c r="N148" s="4">
        <f t="shared" si="27"/>
        <v>0</v>
      </c>
      <c r="O148" s="4">
        <f t="shared" si="27"/>
        <v>0</v>
      </c>
      <c r="P148" s="4">
        <f t="shared" si="27"/>
        <v>0</v>
      </c>
      <c r="Q148" s="4">
        <f t="shared" si="27"/>
        <v>0</v>
      </c>
      <c r="R148" s="4">
        <f t="shared" si="27"/>
        <v>0</v>
      </c>
      <c r="S148" s="4">
        <f t="shared" si="27"/>
        <v>0</v>
      </c>
      <c r="T148" s="4">
        <f t="shared" si="27"/>
        <v>0</v>
      </c>
      <c r="U148" s="4">
        <f t="shared" si="27"/>
        <v>0</v>
      </c>
      <c r="V148" s="4">
        <f t="shared" si="27"/>
        <v>0</v>
      </c>
      <c r="W148" s="4">
        <f t="shared" si="27"/>
        <v>0</v>
      </c>
    </row>
    <row r="149" spans="1:23" ht="15" customHeight="1" x14ac:dyDescent="0.2">
      <c r="A149" s="4" t="s">
        <v>35</v>
      </c>
      <c r="D149" s="4">
        <f t="shared" ref="D149:W149" si="28">--(D148&gt;0)</f>
        <v>0</v>
      </c>
      <c r="E149" s="4">
        <f t="shared" si="28"/>
        <v>0</v>
      </c>
      <c r="F149" s="4">
        <f t="shared" si="28"/>
        <v>0</v>
      </c>
      <c r="G149" s="4">
        <f t="shared" si="28"/>
        <v>0</v>
      </c>
      <c r="H149" s="4">
        <f t="shared" si="28"/>
        <v>0</v>
      </c>
      <c r="I149" s="4">
        <f t="shared" si="28"/>
        <v>1</v>
      </c>
      <c r="J149" s="4">
        <f t="shared" si="28"/>
        <v>1</v>
      </c>
      <c r="K149" s="4">
        <f t="shared" si="28"/>
        <v>1</v>
      </c>
      <c r="L149" s="4">
        <f t="shared" si="28"/>
        <v>1</v>
      </c>
      <c r="M149" s="4">
        <f t="shared" si="28"/>
        <v>1</v>
      </c>
      <c r="N149" s="4">
        <f t="shared" si="28"/>
        <v>0</v>
      </c>
      <c r="O149" s="4">
        <f t="shared" si="28"/>
        <v>0</v>
      </c>
      <c r="P149" s="4">
        <f t="shared" si="28"/>
        <v>0</v>
      </c>
      <c r="Q149" s="4">
        <f t="shared" si="28"/>
        <v>0</v>
      </c>
      <c r="R149" s="4">
        <f t="shared" si="28"/>
        <v>0</v>
      </c>
      <c r="S149" s="4">
        <f t="shared" si="28"/>
        <v>0</v>
      </c>
      <c r="T149" s="4">
        <f t="shared" si="28"/>
        <v>0</v>
      </c>
      <c r="U149" s="4">
        <f t="shared" si="28"/>
        <v>0</v>
      </c>
      <c r="V149" s="4">
        <f t="shared" si="28"/>
        <v>0</v>
      </c>
      <c r="W149" s="4">
        <f t="shared" si="28"/>
        <v>0</v>
      </c>
    </row>
    <row r="150" spans="1:23" ht="15" customHeight="1" x14ac:dyDescent="0.2">
      <c r="A150" s="4" t="s">
        <v>2148</v>
      </c>
      <c r="D150" s="28">
        <f t="shared" ref="D150:W150" si="29">D149*(1-(1-Ramp_yr1)*((D$3-$C$138)=0)-(1-Ramp_yr2)*((D$3-$C$138)=1))</f>
        <v>0</v>
      </c>
      <c r="E150" s="28">
        <f t="shared" si="29"/>
        <v>0</v>
      </c>
      <c r="F150" s="28">
        <f t="shared" si="29"/>
        <v>0</v>
      </c>
      <c r="G150" s="28">
        <f t="shared" si="29"/>
        <v>0</v>
      </c>
      <c r="H150" s="28">
        <f t="shared" si="29"/>
        <v>0</v>
      </c>
      <c r="I150" s="28">
        <f t="shared" si="29"/>
        <v>0.65</v>
      </c>
      <c r="J150" s="28">
        <f t="shared" si="29"/>
        <v>0.85</v>
      </c>
      <c r="K150" s="28">
        <f t="shared" si="29"/>
        <v>1</v>
      </c>
      <c r="L150" s="28">
        <f t="shared" si="29"/>
        <v>1</v>
      </c>
      <c r="M150" s="28">
        <f t="shared" si="29"/>
        <v>1</v>
      </c>
      <c r="N150" s="28">
        <f t="shared" si="29"/>
        <v>0</v>
      </c>
      <c r="O150" s="28">
        <f t="shared" si="29"/>
        <v>0</v>
      </c>
      <c r="P150" s="28">
        <f t="shared" si="29"/>
        <v>0</v>
      </c>
      <c r="Q150" s="28">
        <f t="shared" si="29"/>
        <v>0</v>
      </c>
      <c r="R150" s="28">
        <f t="shared" si="29"/>
        <v>0</v>
      </c>
      <c r="S150" s="28">
        <f t="shared" si="29"/>
        <v>0</v>
      </c>
      <c r="T150" s="28">
        <f t="shared" si="29"/>
        <v>0</v>
      </c>
      <c r="U150" s="28">
        <f t="shared" si="29"/>
        <v>0</v>
      </c>
      <c r="V150" s="28">
        <f t="shared" si="29"/>
        <v>0</v>
      </c>
      <c r="W150" s="28">
        <f t="shared" si="29"/>
        <v>0</v>
      </c>
    </row>
    <row r="151" spans="1:23" ht="15" customHeight="1" x14ac:dyDescent="0.2">
      <c r="A151" s="4" t="s">
        <v>2149</v>
      </c>
      <c r="D151" s="48">
        <f t="shared" ref="D151:W151" si="30">MAX(Price_floor,Compute_P0*(1-Price_decline)^MAX($C$159+D$3-$C$138))</f>
        <v>6.3727937358744011</v>
      </c>
      <c r="E151" s="48">
        <f t="shared" si="30"/>
        <v>5.0982349886995202</v>
      </c>
      <c r="F151" s="48">
        <f t="shared" si="30"/>
        <v>4.0785879909596163</v>
      </c>
      <c r="G151" s="48">
        <f t="shared" si="30"/>
        <v>3.2628703927676934</v>
      </c>
      <c r="H151" s="48">
        <f t="shared" si="30"/>
        <v>2.6102963142141551</v>
      </c>
      <c r="I151" s="48">
        <f t="shared" si="30"/>
        <v>2.5</v>
      </c>
      <c r="J151" s="48">
        <f t="shared" si="30"/>
        <v>2.5</v>
      </c>
      <c r="K151" s="48">
        <f t="shared" si="30"/>
        <v>2.5</v>
      </c>
      <c r="L151" s="48">
        <f t="shared" si="30"/>
        <v>2.5</v>
      </c>
      <c r="M151" s="48">
        <f t="shared" si="30"/>
        <v>2.5</v>
      </c>
      <c r="N151" s="48">
        <f t="shared" si="30"/>
        <v>2.5</v>
      </c>
      <c r="O151" s="48">
        <f t="shared" si="30"/>
        <v>2.5</v>
      </c>
      <c r="P151" s="48">
        <f t="shared" si="30"/>
        <v>2.5</v>
      </c>
      <c r="Q151" s="48">
        <f t="shared" si="30"/>
        <v>2.5</v>
      </c>
      <c r="R151" s="48">
        <f t="shared" si="30"/>
        <v>2.5</v>
      </c>
      <c r="S151" s="48">
        <f t="shared" si="30"/>
        <v>2.5</v>
      </c>
      <c r="T151" s="48">
        <f t="shared" si="30"/>
        <v>2.5</v>
      </c>
      <c r="U151" s="48">
        <f t="shared" si="30"/>
        <v>2.5</v>
      </c>
      <c r="V151" s="48">
        <f t="shared" si="30"/>
        <v>2.5</v>
      </c>
      <c r="W151" s="48">
        <f t="shared" si="30"/>
        <v>2.5</v>
      </c>
    </row>
    <row r="152" spans="1:23" ht="15" customHeight="1" x14ac:dyDescent="0.2">
      <c r="A152" s="4" t="s">
        <v>2150</v>
      </c>
      <c r="D152" s="54">
        <f t="shared" ref="D152:W152" si="31">$C$147*D151/Compute_P0*D150</f>
        <v>0</v>
      </c>
      <c r="E152" s="54">
        <f t="shared" si="31"/>
        <v>0</v>
      </c>
      <c r="F152" s="54">
        <f t="shared" si="31"/>
        <v>0</v>
      </c>
      <c r="G152" s="54">
        <f t="shared" si="31"/>
        <v>0</v>
      </c>
      <c r="H152" s="54">
        <f t="shared" si="31"/>
        <v>0</v>
      </c>
      <c r="I152" s="54">
        <f t="shared" si="31"/>
        <v>597.87000000000012</v>
      </c>
      <c r="J152" s="54">
        <f t="shared" si="31"/>
        <v>781.83</v>
      </c>
      <c r="K152" s="54">
        <f t="shared" si="31"/>
        <v>919.80000000000007</v>
      </c>
      <c r="L152" s="54">
        <f t="shared" si="31"/>
        <v>919.80000000000007</v>
      </c>
      <c r="M152" s="54">
        <f t="shared" si="31"/>
        <v>919.80000000000007</v>
      </c>
      <c r="N152" s="54">
        <f t="shared" si="31"/>
        <v>0</v>
      </c>
      <c r="O152" s="54">
        <f t="shared" si="31"/>
        <v>0</v>
      </c>
      <c r="P152" s="54">
        <f t="shared" si="31"/>
        <v>0</v>
      </c>
      <c r="Q152" s="54">
        <f t="shared" si="31"/>
        <v>0</v>
      </c>
      <c r="R152" s="54">
        <f t="shared" si="31"/>
        <v>0</v>
      </c>
      <c r="S152" s="54">
        <f t="shared" si="31"/>
        <v>0</v>
      </c>
      <c r="T152" s="54">
        <f t="shared" si="31"/>
        <v>0</v>
      </c>
      <c r="U152" s="54">
        <f t="shared" si="31"/>
        <v>0</v>
      </c>
      <c r="V152" s="54">
        <f t="shared" si="31"/>
        <v>0</v>
      </c>
      <c r="W152" s="54">
        <f t="shared" si="31"/>
        <v>0</v>
      </c>
    </row>
    <row r="153" spans="1:23" ht="15" customHeight="1" x14ac:dyDescent="0.2">
      <c r="A153" s="4" t="s">
        <v>42</v>
      </c>
      <c r="D153" s="54">
        <f t="shared" ref="D153:W153" si="32">D152-$C$141*D150-$C$142*D149</f>
        <v>0</v>
      </c>
      <c r="E153" s="54">
        <f t="shared" si="32"/>
        <v>0</v>
      </c>
      <c r="F153" s="54">
        <f t="shared" si="32"/>
        <v>0</v>
      </c>
      <c r="G153" s="54">
        <f t="shared" si="32"/>
        <v>0</v>
      </c>
      <c r="H153" s="54">
        <f t="shared" si="32"/>
        <v>0</v>
      </c>
      <c r="I153" s="54">
        <f t="shared" si="32"/>
        <v>465.30076000000008</v>
      </c>
      <c r="J153" s="54">
        <f t="shared" si="32"/>
        <v>639.69484</v>
      </c>
      <c r="K153" s="54">
        <f t="shared" si="32"/>
        <v>770.49040000000002</v>
      </c>
      <c r="L153" s="54">
        <f t="shared" si="32"/>
        <v>770.49040000000002</v>
      </c>
      <c r="M153" s="54">
        <f t="shared" si="32"/>
        <v>770.49040000000002</v>
      </c>
      <c r="N153" s="54">
        <f t="shared" si="32"/>
        <v>0</v>
      </c>
      <c r="O153" s="54">
        <f t="shared" si="32"/>
        <v>0</v>
      </c>
      <c r="P153" s="54">
        <f t="shared" si="32"/>
        <v>0</v>
      </c>
      <c r="Q153" s="54">
        <f t="shared" si="32"/>
        <v>0</v>
      </c>
      <c r="R153" s="54">
        <f t="shared" si="32"/>
        <v>0</v>
      </c>
      <c r="S153" s="54">
        <f t="shared" si="32"/>
        <v>0</v>
      </c>
      <c r="T153" s="54">
        <f t="shared" si="32"/>
        <v>0</v>
      </c>
      <c r="U153" s="54">
        <f t="shared" si="32"/>
        <v>0</v>
      </c>
      <c r="V153" s="54">
        <f t="shared" si="32"/>
        <v>0</v>
      </c>
      <c r="W153" s="54">
        <f t="shared" si="32"/>
        <v>0</v>
      </c>
    </row>
    <row r="154" spans="1:23" ht="15" customHeight="1" x14ac:dyDescent="0.2">
      <c r="A154" s="4" t="s">
        <v>2151</v>
      </c>
      <c r="D154" s="54">
        <f>-($C$145*Calculations!$C$15+$C$146/GPU_life)*D149</f>
        <v>0</v>
      </c>
      <c r="E154" s="54">
        <f>-($C$145*Calculations!$C$15+$C$146/GPU_life)*E149</f>
        <v>0</v>
      </c>
      <c r="F154" s="54">
        <f>-($C$145*Calculations!$C$15+$C$146/GPU_life)*F149</f>
        <v>0</v>
      </c>
      <c r="G154" s="54">
        <f>-($C$145*Calculations!$C$15+$C$146/GPU_life)*G149</f>
        <v>0</v>
      </c>
      <c r="H154" s="54">
        <f>-($C$145*Calculations!$C$15+$C$146/GPU_life)*H149</f>
        <v>0</v>
      </c>
      <c r="I154" s="54">
        <f>-($C$145*Calculations!$C$15+$C$146/GPU_life)*I149</f>
        <v>-616.34666666666669</v>
      </c>
      <c r="J154" s="54">
        <f>-($C$145*Calculations!$C$15+$C$146/GPU_life)*J149</f>
        <v>-616.34666666666669</v>
      </c>
      <c r="K154" s="54">
        <f>-($C$145*Calculations!$C$15+$C$146/GPU_life)*K149</f>
        <v>-616.34666666666669</v>
      </c>
      <c r="L154" s="54">
        <f>-($C$145*Calculations!$C$15+$C$146/GPU_life)*L149</f>
        <v>-616.34666666666669</v>
      </c>
      <c r="M154" s="54">
        <f>-($C$145*Calculations!$C$15+$C$146/GPU_life)*M149</f>
        <v>-616.34666666666669</v>
      </c>
      <c r="N154" s="54">
        <f>-($C$145*Calculations!$C$15+$C$146/GPU_life)*N149</f>
        <v>0</v>
      </c>
      <c r="O154" s="54">
        <f>-($C$145*Calculations!$C$15+$C$146/GPU_life)*O149</f>
        <v>0</v>
      </c>
      <c r="P154" s="54">
        <f>-($C$145*Calculations!$C$15+$C$146/GPU_life)*P149</f>
        <v>0</v>
      </c>
      <c r="Q154" s="54">
        <f>-($C$145*Calculations!$C$15+$C$146/GPU_life)*Q149</f>
        <v>0</v>
      </c>
      <c r="R154" s="54">
        <f>-($C$145*Calculations!$C$15+$C$146/GPU_life)*R149</f>
        <v>0</v>
      </c>
      <c r="S154" s="54">
        <f>-($C$145*Calculations!$C$15+$C$146/GPU_life)*S149</f>
        <v>0</v>
      </c>
      <c r="T154" s="54">
        <f>-($C$145*Calculations!$C$15+$C$146/GPU_life)*T149</f>
        <v>0</v>
      </c>
      <c r="U154" s="54">
        <f>-($C$145*Calculations!$C$15+$C$146/GPU_life)*U149</f>
        <v>0</v>
      </c>
      <c r="V154" s="54">
        <f>-($C$145*Calculations!$C$15+$C$146/GPU_life)*V149</f>
        <v>0</v>
      </c>
      <c r="W154" s="54">
        <f>-($C$145*Calculations!$C$15+$C$146/GPU_life)*W149</f>
        <v>0</v>
      </c>
    </row>
    <row r="155" spans="1:23" ht="15" customHeight="1" x14ac:dyDescent="0.2">
      <c r="A155" s="4" t="s">
        <v>2152</v>
      </c>
      <c r="D155" s="54">
        <f t="shared" ref="D155:W155" si="33">-$C$144*MAX(D153+D154,0)</f>
        <v>0</v>
      </c>
      <c r="E155" s="54">
        <f t="shared" si="33"/>
        <v>0</v>
      </c>
      <c r="F155" s="54">
        <f t="shared" si="33"/>
        <v>0</v>
      </c>
      <c r="G155" s="54">
        <f t="shared" si="33"/>
        <v>0</v>
      </c>
      <c r="H155" s="54">
        <f t="shared" si="33"/>
        <v>0</v>
      </c>
      <c r="I155" s="54">
        <f t="shared" si="33"/>
        <v>0</v>
      </c>
      <c r="J155" s="54">
        <f t="shared" si="33"/>
        <v>-4.9031163999999938</v>
      </c>
      <c r="K155" s="54">
        <f t="shared" si="33"/>
        <v>-32.370183999999995</v>
      </c>
      <c r="L155" s="54">
        <f t="shared" si="33"/>
        <v>-32.370183999999995</v>
      </c>
      <c r="M155" s="54">
        <f t="shared" si="33"/>
        <v>-32.370183999999995</v>
      </c>
      <c r="N155" s="54">
        <f t="shared" si="33"/>
        <v>0</v>
      </c>
      <c r="O155" s="54">
        <f t="shared" si="33"/>
        <v>0</v>
      </c>
      <c r="P155" s="54">
        <f t="shared" si="33"/>
        <v>0</v>
      </c>
      <c r="Q155" s="54">
        <f t="shared" si="33"/>
        <v>0</v>
      </c>
      <c r="R155" s="54">
        <f t="shared" si="33"/>
        <v>0</v>
      </c>
      <c r="S155" s="54">
        <f t="shared" si="33"/>
        <v>0</v>
      </c>
      <c r="T155" s="54">
        <f t="shared" si="33"/>
        <v>0</v>
      </c>
      <c r="U155" s="54">
        <f t="shared" si="33"/>
        <v>0</v>
      </c>
      <c r="V155" s="54">
        <f t="shared" si="33"/>
        <v>0</v>
      </c>
      <c r="W155" s="54">
        <f t="shared" si="33"/>
        <v>0</v>
      </c>
    </row>
    <row r="156" spans="1:23" ht="15" customHeight="1" x14ac:dyDescent="0.2">
      <c r="A156" s="4" t="s">
        <v>2153</v>
      </c>
      <c r="D156" s="54">
        <f>D153+D155-$C$145*IF($C$138=0,--(D$3=0),--(D$3&lt;=$C$138-1)/$C$138)-$C$145*Assumptions!$F$38*IF(AND(D$3&gt;=1,D$3&lt;=$C$138),1,0)-$C$146*(D$3=$C$138)+($C$145*Facility_salvage_pct+$C$146*GPU_salvage_pct*(1-$C$144))*(D$3=$C$138+GPU_life-1)</f>
        <v>-352.00000000000006</v>
      </c>
      <c r="E156" s="54">
        <f>E153+E155-$C$145*IF($C$138=0,--(E$3=0),--(E$3&lt;=$C$138-1)/$C$138)-$C$145*Assumptions!$F$38*IF(AND(E$3&gt;=1,E$3&lt;=$C$138),1,0)-$C$146*(E$3=$C$138)+($C$145*Facility_salvage_pct+$C$146*GPU_salvage_pct*(1-$C$144))*(E$3=$C$138+GPU_life-1)</f>
        <v>-378.40000000000003</v>
      </c>
      <c r="F156" s="54">
        <f>F153+F155-$C$145*IF($C$138=0,--(F$3=0),--(F$3&lt;=$C$138-1)/$C$138)-$C$145*Assumptions!$F$38*IF(AND(F$3&gt;=1,F$3&lt;=$C$138),1,0)-$C$146*(F$3=$C$138)+($C$145*Facility_salvage_pct+$C$146*GPU_salvage_pct*(1-$C$144))*(F$3=$C$138+GPU_life-1)</f>
        <v>-378.40000000000003</v>
      </c>
      <c r="G156" s="54">
        <f>G153+G155-$C$145*IF($C$138=0,--(G$3=0),--(G$3&lt;=$C$138-1)/$C$138)-$C$145*Assumptions!$F$38*IF(AND(G$3&gt;=1,G$3&lt;=$C$138),1,0)-$C$146*(G$3=$C$138)+($C$145*Facility_salvage_pct+$C$146*GPU_salvage_pct*(1-$C$144))*(G$3=$C$138+GPU_life-1)</f>
        <v>-378.40000000000003</v>
      </c>
      <c r="H156" s="54">
        <f>H153+H155-$C$145*IF($C$138=0,--(H$3=0),--(H$3&lt;=$C$138-1)/$C$138)-$C$145*Assumptions!$F$38*IF(AND(H$3&gt;=1,H$3&lt;=$C$138),1,0)-$C$146*(H$3=$C$138)+($C$145*Facility_salvage_pct+$C$146*GPU_salvage_pct*(1-$C$144))*(H$3=$C$138+GPU_life-1)</f>
        <v>-378.40000000000003</v>
      </c>
      <c r="I156" s="54">
        <f>I153+I155-$C$145*IF($C$138=0,--(I$3=0),--(I$3&lt;=$C$138-1)/$C$138)-$C$145*Assumptions!$F$38*IF(AND(I$3&gt;=1,I$3&lt;=$C$138),1,0)-$C$146*(I$3=$C$138)+($C$145*Facility_salvage_pct+$C$146*GPU_salvage_pct*(1-$C$144))*(I$3=$C$138+GPU_life-1)</f>
        <v>-2081.09924</v>
      </c>
      <c r="J156" s="54">
        <f>J153+J155-$C$145*IF($C$138=0,--(J$3=0),--(J$3&lt;=$C$138-1)/$C$138)-$C$145*Assumptions!$F$38*IF(AND(J$3&gt;=1,J$3&lt;=$C$138),1,0)-$C$146*(J$3=$C$138)+($C$145*Facility_salvage_pct+$C$146*GPU_salvage_pct*(1-$C$144))*(J$3=$C$138+GPU_life-1)</f>
        <v>634.79172359999995</v>
      </c>
      <c r="K156" s="54">
        <f>K153+K155-$C$145*IF($C$138=0,--(K$3=0),--(K$3&lt;=$C$138-1)/$C$138)-$C$145*Assumptions!$F$38*IF(AND(K$3&gt;=1,K$3&lt;=$C$138),1,0)-$C$146*(K$3=$C$138)+($C$145*Facility_salvage_pct+$C$146*GPU_salvage_pct*(1-$C$144))*(K$3=$C$138+GPU_life-1)</f>
        <v>738.12021600000003</v>
      </c>
      <c r="L156" s="54">
        <f>L153+L155-$C$145*IF($C$138=0,--(L$3=0),--(L$3&lt;=$C$138-1)/$C$138)-$C$145*Assumptions!$F$38*IF(AND(L$3&gt;=1,L$3&lt;=$C$138),1,0)-$C$146*(L$3=$C$138)+($C$145*Facility_salvage_pct+$C$146*GPU_salvage_pct*(1-$C$144))*(L$3=$C$138+GPU_life-1)</f>
        <v>738.12021600000003</v>
      </c>
      <c r="M156" s="54">
        <f>M153+M155-$C$145*IF($C$138=0,--(M$3=0),--(M$3&lt;=$C$138-1)/$C$138)-$C$145*Assumptions!$F$38*IF(AND(M$3&gt;=1,M$3&lt;=$C$138),1,0)-$C$146*(M$3=$C$138)+($C$145*Facility_salvage_pct+$C$146*GPU_salvage_pct*(1-$C$144))*(M$3=$C$138+GPU_life-1)</f>
        <v>1729.2002160000002</v>
      </c>
      <c r="N156" s="54">
        <f>N153+N155-$C$145*IF($C$138=0,--(N$3=0),--(N$3&lt;=$C$138-1)/$C$138)-$C$145*Assumptions!$F$38*IF(AND(N$3&gt;=1,N$3&lt;=$C$138),1,0)-$C$146*(N$3=$C$138)+($C$145*Facility_salvage_pct+$C$146*GPU_salvage_pct*(1-$C$144))*(N$3=$C$138+GPU_life-1)</f>
        <v>0</v>
      </c>
      <c r="O156" s="54">
        <f>O153+O155-$C$145*IF($C$138=0,--(O$3=0),--(O$3&lt;=$C$138-1)/$C$138)-$C$145*Assumptions!$F$38*IF(AND(O$3&gt;=1,O$3&lt;=$C$138),1,0)-$C$146*(O$3=$C$138)+($C$145*Facility_salvage_pct+$C$146*GPU_salvage_pct*(1-$C$144))*(O$3=$C$138+GPU_life-1)</f>
        <v>0</v>
      </c>
      <c r="P156" s="54">
        <f>P153+P155-$C$145*IF($C$138=0,--(P$3=0),--(P$3&lt;=$C$138-1)/$C$138)-$C$145*Assumptions!$F$38*IF(AND(P$3&gt;=1,P$3&lt;=$C$138),1,0)-$C$146*(P$3=$C$138)+($C$145*Facility_salvage_pct+$C$146*GPU_salvage_pct*(1-$C$144))*(P$3=$C$138+GPU_life-1)</f>
        <v>0</v>
      </c>
      <c r="Q156" s="54">
        <f>Q153+Q155-$C$145*IF($C$138=0,--(Q$3=0),--(Q$3&lt;=$C$138-1)/$C$138)-$C$145*Assumptions!$F$38*IF(AND(Q$3&gt;=1,Q$3&lt;=$C$138),1,0)-$C$146*(Q$3=$C$138)+($C$145*Facility_salvage_pct+$C$146*GPU_salvage_pct*(1-$C$144))*(Q$3=$C$138+GPU_life-1)</f>
        <v>0</v>
      </c>
      <c r="R156" s="54">
        <f>R153+R155-$C$145*IF($C$138=0,--(R$3=0),--(R$3&lt;=$C$138-1)/$C$138)-$C$145*Assumptions!$F$38*IF(AND(R$3&gt;=1,R$3&lt;=$C$138),1,0)-$C$146*(R$3=$C$138)+($C$145*Facility_salvage_pct+$C$146*GPU_salvage_pct*(1-$C$144))*(R$3=$C$138+GPU_life-1)</f>
        <v>0</v>
      </c>
      <c r="S156" s="54">
        <f>S153+S155-$C$145*IF($C$138=0,--(S$3=0),--(S$3&lt;=$C$138-1)/$C$138)-$C$145*Assumptions!$F$38*IF(AND(S$3&gt;=1,S$3&lt;=$C$138),1,0)-$C$146*(S$3=$C$138)+($C$145*Facility_salvage_pct+$C$146*GPU_salvage_pct*(1-$C$144))*(S$3=$C$138+GPU_life-1)</f>
        <v>0</v>
      </c>
      <c r="T156" s="54">
        <f>T153+T155-$C$145*IF($C$138=0,--(T$3=0),--(T$3&lt;=$C$138-1)/$C$138)-$C$145*Assumptions!$F$38*IF(AND(T$3&gt;=1,T$3&lt;=$C$138),1,0)-$C$146*(T$3=$C$138)+($C$145*Facility_salvage_pct+$C$146*GPU_salvage_pct*(1-$C$144))*(T$3=$C$138+GPU_life-1)</f>
        <v>0</v>
      </c>
      <c r="U156" s="54">
        <f>U153+U155-$C$145*IF($C$138=0,--(U$3=0),--(U$3&lt;=$C$138-1)/$C$138)-$C$145*Assumptions!$F$38*IF(AND(U$3&gt;=1,U$3&lt;=$C$138),1,0)-$C$146*(U$3=$C$138)+($C$145*Facility_salvage_pct+$C$146*GPU_salvage_pct*(1-$C$144))*(U$3=$C$138+GPU_life-1)</f>
        <v>0</v>
      </c>
      <c r="V156" s="54">
        <f>V153+V155-$C$145*IF($C$138=0,--(V$3=0),--(V$3&lt;=$C$138-1)/$C$138)-$C$145*Assumptions!$F$38*IF(AND(V$3&gt;=1,V$3&lt;=$C$138),1,0)-$C$146*(V$3=$C$138)+($C$145*Facility_salvage_pct+$C$146*GPU_salvage_pct*(1-$C$144))*(V$3=$C$138+GPU_life-1)</f>
        <v>0</v>
      </c>
      <c r="W156" s="54">
        <f>W153+W155-$C$145*IF($C$138=0,--(W$3=0),--(W$3&lt;=$C$138-1)/$C$138)-$C$145*Assumptions!$F$38*IF(AND(W$3&gt;=1,W$3&lt;=$C$138),1,0)-$C$146*(W$3=$C$138)+($C$145*Facility_salvage_pct+$C$146*GPU_salvage_pct*(1-$C$144))*(W$3=$C$138+GPU_life-1)</f>
        <v>0</v>
      </c>
    </row>
    <row r="157" spans="1:23" ht="15" customHeight="1" x14ac:dyDescent="0.2">
      <c r="A157" s="4" t="s">
        <v>2154</v>
      </c>
      <c r="D157" s="54">
        <f t="shared" ref="D157:W157" si="34">D156*$C$140^D$3</f>
        <v>-352.00000000000006</v>
      </c>
      <c r="E157" s="54">
        <f t="shared" si="34"/>
        <v>-341.39299891735834</v>
      </c>
      <c r="F157" s="54">
        <f t="shared" si="34"/>
        <v>-308.00523179119301</v>
      </c>
      <c r="G157" s="54">
        <f t="shared" si="34"/>
        <v>-277.88274250378288</v>
      </c>
      <c r="H157" s="54">
        <f t="shared" si="34"/>
        <v>-250.70619136032383</v>
      </c>
      <c r="I157" s="54">
        <f t="shared" si="34"/>
        <v>-1243.9708540872973</v>
      </c>
      <c r="J157" s="54">
        <f t="shared" si="34"/>
        <v>342.33566992361335</v>
      </c>
      <c r="K157" s="54">
        <f t="shared" si="34"/>
        <v>359.12983037050998</v>
      </c>
      <c r="L157" s="54">
        <f t="shared" si="34"/>
        <v>324.00742545156083</v>
      </c>
      <c r="M157" s="54">
        <f t="shared" si="34"/>
        <v>684.8203024426108</v>
      </c>
      <c r="N157" s="54">
        <f t="shared" si="34"/>
        <v>0</v>
      </c>
      <c r="O157" s="54">
        <f t="shared" si="34"/>
        <v>0</v>
      </c>
      <c r="P157" s="54">
        <f t="shared" si="34"/>
        <v>0</v>
      </c>
      <c r="Q157" s="54">
        <f t="shared" si="34"/>
        <v>0</v>
      </c>
      <c r="R157" s="54">
        <f t="shared" si="34"/>
        <v>0</v>
      </c>
      <c r="S157" s="54">
        <f t="shared" si="34"/>
        <v>0</v>
      </c>
      <c r="T157" s="54">
        <f t="shared" si="34"/>
        <v>0</v>
      </c>
      <c r="U157" s="54">
        <f t="shared" si="34"/>
        <v>0</v>
      </c>
      <c r="V157" s="54">
        <f t="shared" si="34"/>
        <v>0</v>
      </c>
      <c r="W157" s="54">
        <f t="shared" si="34"/>
        <v>0</v>
      </c>
    </row>
    <row r="158" spans="1:23" ht="15" customHeight="1" x14ac:dyDescent="0.2">
      <c r="A158" s="4" t="s">
        <v>2155</v>
      </c>
      <c r="D158" s="54">
        <f t="shared" ref="D158:W158" si="35">(D152-$C$141*D150)*(1-$C$144)*$C$140^D$3</f>
        <v>0</v>
      </c>
      <c r="E158" s="54">
        <f t="shared" si="35"/>
        <v>0</v>
      </c>
      <c r="F158" s="54">
        <f t="shared" si="35"/>
        <v>0</v>
      </c>
      <c r="G158" s="54">
        <f t="shared" si="35"/>
        <v>0</v>
      </c>
      <c r="H158" s="54">
        <f t="shared" si="35"/>
        <v>0</v>
      </c>
      <c r="I158" s="54">
        <f t="shared" si="35"/>
        <v>267.64528990793519</v>
      </c>
      <c r="J158" s="54">
        <f t="shared" si="35"/>
        <v>315.76839300133929</v>
      </c>
      <c r="K158" s="54">
        <f t="shared" si="35"/>
        <v>335.16079669830305</v>
      </c>
      <c r="L158" s="54">
        <f t="shared" si="35"/>
        <v>302.38253040265522</v>
      </c>
      <c r="M158" s="54">
        <f t="shared" si="35"/>
        <v>272.80993360037456</v>
      </c>
      <c r="N158" s="54">
        <f t="shared" si="35"/>
        <v>0</v>
      </c>
      <c r="O158" s="54">
        <f t="shared" si="35"/>
        <v>0</v>
      </c>
      <c r="P158" s="54">
        <f t="shared" si="35"/>
        <v>0</v>
      </c>
      <c r="Q158" s="54">
        <f t="shared" si="35"/>
        <v>0</v>
      </c>
      <c r="R158" s="54">
        <f t="shared" si="35"/>
        <v>0</v>
      </c>
      <c r="S158" s="54">
        <f t="shared" si="35"/>
        <v>0</v>
      </c>
      <c r="T158" s="54">
        <f t="shared" si="35"/>
        <v>0</v>
      </c>
      <c r="U158" s="54">
        <f t="shared" si="35"/>
        <v>0</v>
      </c>
      <c r="V158" s="54">
        <f t="shared" si="35"/>
        <v>0</v>
      </c>
      <c r="W158" s="54">
        <f t="shared" si="35"/>
        <v>0</v>
      </c>
    </row>
    <row r="159" spans="1:23" ht="15" customHeight="1" x14ac:dyDescent="0.2">
      <c r="A159" t="s">
        <v>2156</v>
      </c>
      <c r="C159" s="57">
        <f>INDEX(Assumptions!$F$50:$H$54,$C$143,MATCH(Assumptions!$B$4,Assumptions!$D$9:$F$9,0))</f>
        <v>4.5</v>
      </c>
    </row>
    <row r="160" spans="1:23" ht="15" customHeight="1" x14ac:dyDescent="0.2">
      <c r="A160" s="22" t="s">
        <v>2157</v>
      </c>
      <c r="C160" s="51">
        <f>SUM(D157:W157)</f>
        <v>-1063.6647904716606</v>
      </c>
    </row>
    <row r="161" spans="1:3" ht="15" customHeight="1" x14ac:dyDescent="0.2">
      <c r="A161" s="4" t="s">
        <v>2158</v>
      </c>
      <c r="C161" s="48">
        <f>SUM(D158:W158)</f>
        <v>1493.7669436106073</v>
      </c>
    </row>
    <row r="162" spans="1:3" ht="15" customHeight="1" x14ac:dyDescent="0.2">
      <c r="A162" s="4" t="s">
        <v>63</v>
      </c>
      <c r="C162" s="31" t="str">
        <f>IF(C161&lt;=0,"n/a",IF(Assumptions!$D$45*(1-C160/C161)&gt;1,"&gt;100% (never)",Assumptions!$D$45*(1-C160/C161)))</f>
        <v>&gt;100% (never)</v>
      </c>
    </row>
    <row r="164" spans="1:3" ht="15" customHeight="1" x14ac:dyDescent="0.2">
      <c r="A164" s="5"/>
      <c r="C164" s="48"/>
    </row>
    <row r="165" spans="1:3" ht="15" customHeight="1" x14ac:dyDescent="0.2">
      <c r="A165" s="5"/>
      <c r="C165" s="48"/>
    </row>
    <row r="166" spans="1:3" ht="15" customHeight="1" x14ac:dyDescent="0.2">
      <c r="A166" s="5"/>
      <c r="C166" s="28"/>
    </row>
    <row r="167" spans="1:3" ht="15" customHeight="1" x14ac:dyDescent="0.2">
      <c r="A167" s="5"/>
      <c r="C167" s="28"/>
    </row>
    <row r="168" spans="1:3" ht="15" customHeight="1" x14ac:dyDescent="0.2">
      <c r="A168" s="5"/>
      <c r="C168" s="48"/>
    </row>
    <row r="169" spans="1:3" ht="15" customHeight="1" x14ac:dyDescent="0.2">
      <c r="A169" s="5"/>
      <c r="C169" s="48"/>
    </row>
    <row r="170" spans="1:3" ht="15" customHeight="1" x14ac:dyDescent="0.2">
      <c r="A170" s="5"/>
      <c r="C170" s="48"/>
    </row>
    <row r="171" spans="1:3" ht="15" customHeight="1" x14ac:dyDescent="0.2">
      <c r="A171" s="5"/>
      <c r="C171" s="48"/>
    </row>
    <row r="172" spans="1:3" ht="15" customHeight="1" x14ac:dyDescent="0.2">
      <c r="A172" s="5"/>
      <c r="C172" s="48"/>
    </row>
    <row r="173" spans="1:3" ht="15" customHeight="1" x14ac:dyDescent="0.2">
      <c r="A173" s="5"/>
      <c r="C173" s="48"/>
    </row>
    <row r="174" spans="1:3" ht="15" customHeight="1" x14ac:dyDescent="0.2">
      <c r="A174" s="5"/>
      <c r="C174" s="48"/>
    </row>
    <row r="175" spans="1:3" ht="15" customHeight="1" x14ac:dyDescent="0.2">
      <c r="A175" s="5"/>
      <c r="C175" s="48"/>
    </row>
    <row r="176" spans="1:3" ht="15" customHeight="1" x14ac:dyDescent="0.2">
      <c r="A176" s="5"/>
      <c r="C176" s="48"/>
    </row>
    <row r="177" spans="1:23" ht="15" customHeight="1" x14ac:dyDescent="0.2">
      <c r="A177" s="5"/>
      <c r="C177" s="48"/>
    </row>
    <row r="178" spans="1:23" ht="15" customHeight="1" x14ac:dyDescent="0.2">
      <c r="A178" s="5"/>
      <c r="C178" s="48"/>
    </row>
    <row r="181" spans="1:23" ht="15" customHeight="1" x14ac:dyDescent="0.2">
      <c r="A181" s="7" t="s">
        <v>2162</v>
      </c>
      <c r="B181" s="4" t="s">
        <v>247</v>
      </c>
    </row>
    <row r="182" spans="1:23" ht="15" customHeight="1" x14ac:dyDescent="0.2">
      <c r="A182" s="4" t="s">
        <v>2137</v>
      </c>
      <c r="C182" s="28">
        <f>ROUND($C$203,0)</f>
        <v>3</v>
      </c>
    </row>
    <row r="183" spans="1:23" ht="15" customHeight="1" x14ac:dyDescent="0.2">
      <c r="A183" s="4" t="s">
        <v>2138</v>
      </c>
      <c r="C183" s="28">
        <f>INDEX(Assumptions!$I$50:$K$54,$C$187,MATCH(Assumptions!$B$4,Assumptions!$D$9:$F$9,0))+Assumptions!$C$46</f>
        <v>7.8399999999999997E-2</v>
      </c>
    </row>
    <row r="184" spans="1:23" ht="15" customHeight="1" x14ac:dyDescent="0.2">
      <c r="A184" s="4" t="s">
        <v>2139</v>
      </c>
      <c r="C184" s="28">
        <f>1/(1+$C$183)</f>
        <v>0.92729970326409494</v>
      </c>
    </row>
    <row r="185" spans="1:23" ht="15" customHeight="1" x14ac:dyDescent="0.2">
      <c r="A185" s="4" t="s">
        <v>2140</v>
      </c>
      <c r="C185" s="48">
        <f>IT_load_MW*INDEX(Assumptions!$M$50:$M$54,$C$187,1)*Hours_per_year*INDEX(Assumptions!$C$50:$E$54,$C$187,MATCH(Assumptions!$B$4,Assumptions!$D$9:$F$9,0))*Assumptions!$C$45/Unit_scale</f>
        <v>109.85039999999999</v>
      </c>
    </row>
    <row r="186" spans="1:23" ht="15" customHeight="1" x14ac:dyDescent="0.2">
      <c r="A186" s="4" t="s">
        <v>2141</v>
      </c>
      <c r="C186" s="48">
        <f>IT_load_MW*OM_fixed+Insurance_rate*Calculations!$C$6+INDEX(Assumptions!$O$50:$O$54,$C$187,1)*($C$189+Calculations!$C$6)*(1-Prop_tax_abatement)</f>
        <v>90.754999999999995</v>
      </c>
    </row>
    <row r="187" spans="1:23" ht="15" customHeight="1" x14ac:dyDescent="0.2">
      <c r="A187" s="4" t="s">
        <v>2142</v>
      </c>
      <c r="C187" s="48">
        <f>MATCH($B$181,Assumptions!$B$50:$B$54,0)</f>
        <v>3</v>
      </c>
    </row>
    <row r="188" spans="1:23" ht="15" customHeight="1" x14ac:dyDescent="0.2">
      <c r="A188" s="4" t="s">
        <v>2143</v>
      </c>
      <c r="C188" s="28">
        <f>INDEX(Assumptions!$L$50:$L$54,MATCH($B$181,Assumptions!$B$50:$B$54,0),1)</f>
        <v>0.25</v>
      </c>
    </row>
    <row r="189" spans="1:23" ht="15" customHeight="1" x14ac:dyDescent="0.2">
      <c r="A189" s="4" t="s">
        <v>2144</v>
      </c>
      <c r="C189" s="48">
        <f>IT_load_MW*(Facility_capex_MW+INDEX(Assumptions!$N$50:$N$54,$C$187,1))</f>
        <v>1750</v>
      </c>
    </row>
    <row r="190" spans="1:23" ht="15" customHeight="1" x14ac:dyDescent="0.2">
      <c r="A190" s="4" t="s">
        <v>2145</v>
      </c>
      <c r="C190" s="50">
        <f>Calculations!$C$6</f>
        <v>2520</v>
      </c>
    </row>
    <row r="191" spans="1:23" ht="15" customHeight="1" x14ac:dyDescent="0.2">
      <c r="A191" s="4" t="s">
        <v>2146</v>
      </c>
      <c r="C191" s="48">
        <f>IT_load_MW*Assumptions!$G$12*Hours_per_year*Assumptions!$C$45/Unit_scale*Compute_P0</f>
        <v>2636.4096000000004</v>
      </c>
    </row>
    <row r="192" spans="1:23" ht="15" customHeight="1" x14ac:dyDescent="0.2">
      <c r="A192" s="4" t="s">
        <v>2147</v>
      </c>
      <c r="D192" s="4">
        <f t="shared" ref="D192:W192" si="36">IF(D$3&lt;$C$182,0,IF(D$3&lt;=$C$182+GPU_life-1,1,0))</f>
        <v>0</v>
      </c>
      <c r="E192" s="4">
        <f t="shared" si="36"/>
        <v>0</v>
      </c>
      <c r="F192" s="4">
        <f t="shared" si="36"/>
        <v>0</v>
      </c>
      <c r="G192" s="4">
        <f t="shared" si="36"/>
        <v>1</v>
      </c>
      <c r="H192" s="4">
        <f t="shared" si="36"/>
        <v>1</v>
      </c>
      <c r="I192" s="4">
        <f t="shared" si="36"/>
        <v>1</v>
      </c>
      <c r="J192" s="4">
        <f t="shared" si="36"/>
        <v>1</v>
      </c>
      <c r="K192" s="4">
        <f t="shared" si="36"/>
        <v>1</v>
      </c>
      <c r="L192" s="4">
        <f t="shared" si="36"/>
        <v>0</v>
      </c>
      <c r="M192" s="4">
        <f t="shared" si="36"/>
        <v>0</v>
      </c>
      <c r="N192" s="4">
        <f t="shared" si="36"/>
        <v>0</v>
      </c>
      <c r="O192" s="4">
        <f t="shared" si="36"/>
        <v>0</v>
      </c>
      <c r="P192" s="4">
        <f t="shared" si="36"/>
        <v>0</v>
      </c>
      <c r="Q192" s="4">
        <f t="shared" si="36"/>
        <v>0</v>
      </c>
      <c r="R192" s="4">
        <f t="shared" si="36"/>
        <v>0</v>
      </c>
      <c r="S192" s="4">
        <f t="shared" si="36"/>
        <v>0</v>
      </c>
      <c r="T192" s="4">
        <f t="shared" si="36"/>
        <v>0</v>
      </c>
      <c r="U192" s="4">
        <f t="shared" si="36"/>
        <v>0</v>
      </c>
      <c r="V192" s="4">
        <f t="shared" si="36"/>
        <v>0</v>
      </c>
      <c r="W192" s="4">
        <f t="shared" si="36"/>
        <v>0</v>
      </c>
    </row>
    <row r="193" spans="1:23" ht="15" customHeight="1" x14ac:dyDescent="0.2">
      <c r="A193" s="4" t="s">
        <v>35</v>
      </c>
      <c r="D193" s="4">
        <f t="shared" ref="D193:W193" si="37">--(D192&gt;0)</f>
        <v>0</v>
      </c>
      <c r="E193" s="4">
        <f t="shared" si="37"/>
        <v>0</v>
      </c>
      <c r="F193" s="4">
        <f t="shared" si="37"/>
        <v>0</v>
      </c>
      <c r="G193" s="4">
        <f t="shared" si="37"/>
        <v>1</v>
      </c>
      <c r="H193" s="4">
        <f t="shared" si="37"/>
        <v>1</v>
      </c>
      <c r="I193" s="4">
        <f t="shared" si="37"/>
        <v>1</v>
      </c>
      <c r="J193" s="4">
        <f t="shared" si="37"/>
        <v>1</v>
      </c>
      <c r="K193" s="4">
        <f t="shared" si="37"/>
        <v>1</v>
      </c>
      <c r="L193" s="4">
        <f t="shared" si="37"/>
        <v>0</v>
      </c>
      <c r="M193" s="4">
        <f t="shared" si="37"/>
        <v>0</v>
      </c>
      <c r="N193" s="4">
        <f t="shared" si="37"/>
        <v>0</v>
      </c>
      <c r="O193" s="4">
        <f t="shared" si="37"/>
        <v>0</v>
      </c>
      <c r="P193" s="4">
        <f t="shared" si="37"/>
        <v>0</v>
      </c>
      <c r="Q193" s="4">
        <f t="shared" si="37"/>
        <v>0</v>
      </c>
      <c r="R193" s="4">
        <f t="shared" si="37"/>
        <v>0</v>
      </c>
      <c r="S193" s="4">
        <f t="shared" si="37"/>
        <v>0</v>
      </c>
      <c r="T193" s="4">
        <f t="shared" si="37"/>
        <v>0</v>
      </c>
      <c r="U193" s="4">
        <f t="shared" si="37"/>
        <v>0</v>
      </c>
      <c r="V193" s="4">
        <f t="shared" si="37"/>
        <v>0</v>
      </c>
      <c r="W193" s="4">
        <f t="shared" si="37"/>
        <v>0</v>
      </c>
    </row>
    <row r="194" spans="1:23" ht="15" customHeight="1" x14ac:dyDescent="0.2">
      <c r="A194" s="4" t="s">
        <v>2148</v>
      </c>
      <c r="D194" s="28">
        <f t="shared" ref="D194:W194" si="38">D193*(1-(1-Ramp_yr1)*((D$3-$C$182)=0)-(1-Ramp_yr2)*((D$3-$C$182)=1))</f>
        <v>0</v>
      </c>
      <c r="E194" s="28">
        <f t="shared" si="38"/>
        <v>0</v>
      </c>
      <c r="F194" s="28">
        <f t="shared" si="38"/>
        <v>0</v>
      </c>
      <c r="G194" s="28">
        <f t="shared" si="38"/>
        <v>0.65</v>
      </c>
      <c r="H194" s="28">
        <f t="shared" si="38"/>
        <v>0.85</v>
      </c>
      <c r="I194" s="28">
        <f t="shared" si="38"/>
        <v>1</v>
      </c>
      <c r="J194" s="28">
        <f t="shared" si="38"/>
        <v>1</v>
      </c>
      <c r="K194" s="28">
        <f t="shared" si="38"/>
        <v>1</v>
      </c>
      <c r="L194" s="28">
        <f t="shared" si="38"/>
        <v>0</v>
      </c>
      <c r="M194" s="28">
        <f t="shared" si="38"/>
        <v>0</v>
      </c>
      <c r="N194" s="28">
        <f t="shared" si="38"/>
        <v>0</v>
      </c>
      <c r="O194" s="28">
        <f t="shared" si="38"/>
        <v>0</v>
      </c>
      <c r="P194" s="28">
        <f t="shared" si="38"/>
        <v>0</v>
      </c>
      <c r="Q194" s="28">
        <f t="shared" si="38"/>
        <v>0</v>
      </c>
      <c r="R194" s="28">
        <f t="shared" si="38"/>
        <v>0</v>
      </c>
      <c r="S194" s="28">
        <f t="shared" si="38"/>
        <v>0</v>
      </c>
      <c r="T194" s="28">
        <f t="shared" si="38"/>
        <v>0</v>
      </c>
      <c r="U194" s="28">
        <f t="shared" si="38"/>
        <v>0</v>
      </c>
      <c r="V194" s="28">
        <f t="shared" si="38"/>
        <v>0</v>
      </c>
      <c r="W194" s="28">
        <f t="shared" si="38"/>
        <v>0</v>
      </c>
    </row>
    <row r="195" spans="1:23" ht="15" customHeight="1" x14ac:dyDescent="0.2">
      <c r="A195" s="4" t="s">
        <v>2149</v>
      </c>
      <c r="D195" s="48">
        <f t="shared" ref="D195:W195" si="39">MAX(Price_floor,Compute_P0*(1-Price_decline)^$C$203)</f>
        <v>2.918400000000001</v>
      </c>
      <c r="E195" s="48">
        <f t="shared" si="39"/>
        <v>2.918400000000001</v>
      </c>
      <c r="F195" s="48">
        <f t="shared" si="39"/>
        <v>2.918400000000001</v>
      </c>
      <c r="G195" s="48">
        <f t="shared" si="39"/>
        <v>2.918400000000001</v>
      </c>
      <c r="H195" s="48">
        <f t="shared" si="39"/>
        <v>2.918400000000001</v>
      </c>
      <c r="I195" s="48">
        <f t="shared" si="39"/>
        <v>2.918400000000001</v>
      </c>
      <c r="J195" s="48">
        <f t="shared" si="39"/>
        <v>2.918400000000001</v>
      </c>
      <c r="K195" s="48">
        <f t="shared" si="39"/>
        <v>2.918400000000001</v>
      </c>
      <c r="L195" s="48">
        <f t="shared" si="39"/>
        <v>2.918400000000001</v>
      </c>
      <c r="M195" s="48">
        <f t="shared" si="39"/>
        <v>2.918400000000001</v>
      </c>
      <c r="N195" s="48">
        <f t="shared" si="39"/>
        <v>2.918400000000001</v>
      </c>
      <c r="O195" s="48">
        <f t="shared" si="39"/>
        <v>2.918400000000001</v>
      </c>
      <c r="P195" s="48">
        <f t="shared" si="39"/>
        <v>2.918400000000001</v>
      </c>
      <c r="Q195" s="48">
        <f t="shared" si="39"/>
        <v>2.918400000000001</v>
      </c>
      <c r="R195" s="48">
        <f t="shared" si="39"/>
        <v>2.918400000000001</v>
      </c>
      <c r="S195" s="48">
        <f t="shared" si="39"/>
        <v>2.918400000000001</v>
      </c>
      <c r="T195" s="48">
        <f t="shared" si="39"/>
        <v>2.918400000000001</v>
      </c>
      <c r="U195" s="48">
        <f t="shared" si="39"/>
        <v>2.918400000000001</v>
      </c>
      <c r="V195" s="48">
        <f t="shared" si="39"/>
        <v>2.918400000000001</v>
      </c>
      <c r="W195" s="48">
        <f t="shared" si="39"/>
        <v>2.918400000000001</v>
      </c>
    </row>
    <row r="196" spans="1:23" ht="15" customHeight="1" x14ac:dyDescent="0.2">
      <c r="A196" s="4" t="s">
        <v>2150</v>
      </c>
      <c r="D196" s="54">
        <f t="shared" ref="D196:W196" si="40">$C$191*D195/Compute_P0*D194</f>
        <v>0</v>
      </c>
      <c r="E196" s="54">
        <f t="shared" si="40"/>
        <v>0</v>
      </c>
      <c r="F196" s="54">
        <f t="shared" si="40"/>
        <v>0</v>
      </c>
      <c r="G196" s="54">
        <f t="shared" si="40"/>
        <v>877.39711488000046</v>
      </c>
      <c r="H196" s="54">
        <f t="shared" si="40"/>
        <v>1147.3654579200006</v>
      </c>
      <c r="I196" s="54">
        <f t="shared" si="40"/>
        <v>1349.8417152000006</v>
      </c>
      <c r="J196" s="54">
        <f t="shared" si="40"/>
        <v>1349.8417152000006</v>
      </c>
      <c r="K196" s="54">
        <f t="shared" si="40"/>
        <v>1349.8417152000006</v>
      </c>
      <c r="L196" s="54">
        <f t="shared" si="40"/>
        <v>0</v>
      </c>
      <c r="M196" s="54">
        <f t="shared" si="40"/>
        <v>0</v>
      </c>
      <c r="N196" s="54">
        <f t="shared" si="40"/>
        <v>0</v>
      </c>
      <c r="O196" s="54">
        <f t="shared" si="40"/>
        <v>0</v>
      </c>
      <c r="P196" s="54">
        <f t="shared" si="40"/>
        <v>0</v>
      </c>
      <c r="Q196" s="54">
        <f t="shared" si="40"/>
        <v>0</v>
      </c>
      <c r="R196" s="54">
        <f t="shared" si="40"/>
        <v>0</v>
      </c>
      <c r="S196" s="54">
        <f t="shared" si="40"/>
        <v>0</v>
      </c>
      <c r="T196" s="54">
        <f t="shared" si="40"/>
        <v>0</v>
      </c>
      <c r="U196" s="54">
        <f t="shared" si="40"/>
        <v>0</v>
      </c>
      <c r="V196" s="54">
        <f t="shared" si="40"/>
        <v>0</v>
      </c>
      <c r="W196" s="54">
        <f t="shared" si="40"/>
        <v>0</v>
      </c>
    </row>
    <row r="197" spans="1:23" ht="15" customHeight="1" x14ac:dyDescent="0.2">
      <c r="A197" s="4" t="s">
        <v>42</v>
      </c>
      <c r="D197" s="54">
        <f t="shared" ref="D197:W197" si="41">D196-$C$185*D194-$C$186*D193</f>
        <v>0</v>
      </c>
      <c r="E197" s="54">
        <f t="shared" si="41"/>
        <v>0</v>
      </c>
      <c r="F197" s="54">
        <f t="shared" si="41"/>
        <v>0</v>
      </c>
      <c r="G197" s="54">
        <f t="shared" si="41"/>
        <v>715.23935488000041</v>
      </c>
      <c r="H197" s="54">
        <f t="shared" si="41"/>
        <v>963.23761792000062</v>
      </c>
      <c r="I197" s="54">
        <f t="shared" si="41"/>
        <v>1149.2363152000007</v>
      </c>
      <c r="J197" s="54">
        <f t="shared" si="41"/>
        <v>1149.2363152000007</v>
      </c>
      <c r="K197" s="54">
        <f t="shared" si="41"/>
        <v>1149.2363152000007</v>
      </c>
      <c r="L197" s="54">
        <f t="shared" si="41"/>
        <v>0</v>
      </c>
      <c r="M197" s="54">
        <f t="shared" si="41"/>
        <v>0</v>
      </c>
      <c r="N197" s="54">
        <f t="shared" si="41"/>
        <v>0</v>
      </c>
      <c r="O197" s="54">
        <f t="shared" si="41"/>
        <v>0</v>
      </c>
      <c r="P197" s="54">
        <f t="shared" si="41"/>
        <v>0</v>
      </c>
      <c r="Q197" s="54">
        <f t="shared" si="41"/>
        <v>0</v>
      </c>
      <c r="R197" s="54">
        <f t="shared" si="41"/>
        <v>0</v>
      </c>
      <c r="S197" s="54">
        <f t="shared" si="41"/>
        <v>0</v>
      </c>
      <c r="T197" s="54">
        <f t="shared" si="41"/>
        <v>0</v>
      </c>
      <c r="U197" s="54">
        <f t="shared" si="41"/>
        <v>0</v>
      </c>
      <c r="V197" s="54">
        <f t="shared" si="41"/>
        <v>0</v>
      </c>
      <c r="W197" s="54">
        <f t="shared" si="41"/>
        <v>0</v>
      </c>
    </row>
    <row r="198" spans="1:23" ht="15" customHeight="1" x14ac:dyDescent="0.2">
      <c r="A198" s="4" t="s">
        <v>2151</v>
      </c>
      <c r="D198" s="54">
        <f>-($C$189*Calculations!$C$15+$C$190/GPU_life)*D193</f>
        <v>0</v>
      </c>
      <c r="E198" s="54">
        <f>-($C$189*Calculations!$C$15+$C$190/GPU_life)*E193</f>
        <v>0</v>
      </c>
      <c r="F198" s="54">
        <f>-($C$189*Calculations!$C$15+$C$190/GPU_life)*F193</f>
        <v>0</v>
      </c>
      <c r="G198" s="54">
        <f>-($C$189*Calculations!$C$15+$C$190/GPU_life)*G193</f>
        <v>-615.70833333333337</v>
      </c>
      <c r="H198" s="54">
        <f>-($C$189*Calculations!$C$15+$C$190/GPU_life)*H193</f>
        <v>-615.70833333333337</v>
      </c>
      <c r="I198" s="54">
        <f>-($C$189*Calculations!$C$15+$C$190/GPU_life)*I193</f>
        <v>-615.70833333333337</v>
      </c>
      <c r="J198" s="54">
        <f>-($C$189*Calculations!$C$15+$C$190/GPU_life)*J193</f>
        <v>-615.70833333333337</v>
      </c>
      <c r="K198" s="54">
        <f>-($C$189*Calculations!$C$15+$C$190/GPU_life)*K193</f>
        <v>-615.70833333333337</v>
      </c>
      <c r="L198" s="54">
        <f>-($C$189*Calculations!$C$15+$C$190/GPU_life)*L193</f>
        <v>0</v>
      </c>
      <c r="M198" s="54">
        <f>-($C$189*Calculations!$C$15+$C$190/GPU_life)*M193</f>
        <v>0</v>
      </c>
      <c r="N198" s="54">
        <f>-($C$189*Calculations!$C$15+$C$190/GPU_life)*N193</f>
        <v>0</v>
      </c>
      <c r="O198" s="54">
        <f>-($C$189*Calculations!$C$15+$C$190/GPU_life)*O193</f>
        <v>0</v>
      </c>
      <c r="P198" s="54">
        <f>-($C$189*Calculations!$C$15+$C$190/GPU_life)*P193</f>
        <v>0</v>
      </c>
      <c r="Q198" s="54">
        <f>-($C$189*Calculations!$C$15+$C$190/GPU_life)*Q193</f>
        <v>0</v>
      </c>
      <c r="R198" s="54">
        <f>-($C$189*Calculations!$C$15+$C$190/GPU_life)*R193</f>
        <v>0</v>
      </c>
      <c r="S198" s="54">
        <f>-($C$189*Calculations!$C$15+$C$190/GPU_life)*S193</f>
        <v>0</v>
      </c>
      <c r="T198" s="54">
        <f>-($C$189*Calculations!$C$15+$C$190/GPU_life)*T193</f>
        <v>0</v>
      </c>
      <c r="U198" s="54">
        <f>-($C$189*Calculations!$C$15+$C$190/GPU_life)*U193</f>
        <v>0</v>
      </c>
      <c r="V198" s="54">
        <f>-($C$189*Calculations!$C$15+$C$190/GPU_life)*V193</f>
        <v>0</v>
      </c>
      <c r="W198" s="54">
        <f>-($C$189*Calculations!$C$15+$C$190/GPU_life)*W193</f>
        <v>0</v>
      </c>
    </row>
    <row r="199" spans="1:23" ht="15" customHeight="1" x14ac:dyDescent="0.2">
      <c r="A199" s="4" t="s">
        <v>2152</v>
      </c>
      <c r="D199" s="54">
        <f t="shared" ref="D199:W199" si="42">-$C$188*MAX(D197+D198,0)</f>
        <v>0</v>
      </c>
      <c r="E199" s="54">
        <f t="shared" si="42"/>
        <v>0</v>
      </c>
      <c r="F199" s="54">
        <f t="shared" si="42"/>
        <v>0</v>
      </c>
      <c r="G199" s="54">
        <f t="shared" si="42"/>
        <v>-24.882755386666759</v>
      </c>
      <c r="H199" s="54">
        <f t="shared" si="42"/>
        <v>-86.882321146666811</v>
      </c>
      <c r="I199" s="54">
        <f t="shared" si="42"/>
        <v>-133.38199546666684</v>
      </c>
      <c r="J199" s="54">
        <f t="shared" si="42"/>
        <v>-133.38199546666684</v>
      </c>
      <c r="K199" s="54">
        <f t="shared" si="42"/>
        <v>-133.38199546666684</v>
      </c>
      <c r="L199" s="54">
        <f t="shared" si="42"/>
        <v>0</v>
      </c>
      <c r="M199" s="54">
        <f t="shared" si="42"/>
        <v>0</v>
      </c>
      <c r="N199" s="54">
        <f t="shared" si="42"/>
        <v>0</v>
      </c>
      <c r="O199" s="54">
        <f t="shared" si="42"/>
        <v>0</v>
      </c>
      <c r="P199" s="54">
        <f t="shared" si="42"/>
        <v>0</v>
      </c>
      <c r="Q199" s="54">
        <f t="shared" si="42"/>
        <v>0</v>
      </c>
      <c r="R199" s="54">
        <f t="shared" si="42"/>
        <v>0</v>
      </c>
      <c r="S199" s="54">
        <f t="shared" si="42"/>
        <v>0</v>
      </c>
      <c r="T199" s="54">
        <f t="shared" si="42"/>
        <v>0</v>
      </c>
      <c r="U199" s="54">
        <f t="shared" si="42"/>
        <v>0</v>
      </c>
      <c r="V199" s="54">
        <f t="shared" si="42"/>
        <v>0</v>
      </c>
      <c r="W199" s="54">
        <f t="shared" si="42"/>
        <v>0</v>
      </c>
    </row>
    <row r="200" spans="1:23" ht="15" customHeight="1" x14ac:dyDescent="0.2">
      <c r="A200" s="4" t="s">
        <v>2153</v>
      </c>
      <c r="D200" s="54">
        <f>D197+D199-$C$189*IF($C$182=0,--(D$3=0),--(D$3&lt;=$C$182-1)/$C$182)-$C$189*Assumptions!$F$38*IF(AND(D$3&gt;=1,D$3&lt;=$C$182),1,0)-$C$190*(D$3=$C$182)+($C$189*Facility_salvage_pct+$C$190*GPU_salvage_pct*(1-$C$188))*(D$3=$C$182+GPU_life-1)</f>
        <v>-583.33333333333326</v>
      </c>
      <c r="E200" s="54">
        <f>E197+E199-$C$189*IF($C$182=0,--(E$3=0),--(E$3&lt;=$C$182-1)/$C$182)-$C$189*Assumptions!$F$38*IF(AND(E$3&gt;=1,E$3&lt;=$C$182),1,0)-$C$190*(E$3=$C$182)+($C$189*Facility_salvage_pct+$C$190*GPU_salvage_pct*(1-$C$188))*(E$3=$C$182+GPU_life-1)</f>
        <v>-609.58333333333326</v>
      </c>
      <c r="F200" s="54">
        <f>F197+F199-$C$189*IF($C$182=0,--(F$3=0),--(F$3&lt;=$C$182-1)/$C$182)-$C$189*Assumptions!$F$38*IF(AND(F$3&gt;=1,F$3&lt;=$C$182),1,0)-$C$190*(F$3=$C$182)+($C$189*Facility_salvage_pct+$C$190*GPU_salvage_pct*(1-$C$188))*(F$3=$C$182+GPU_life-1)</f>
        <v>-609.58333333333326</v>
      </c>
      <c r="G200" s="54">
        <f>G197+G199-$C$189*IF($C$182=0,--(G$3=0),--(G$3&lt;=$C$182-1)/$C$182)-$C$189*Assumptions!$F$38*IF(AND(G$3&gt;=1,G$3&lt;=$C$182),1,0)-$C$190*(G$3=$C$182)+($C$189*Facility_salvage_pct+$C$190*GPU_salvage_pct*(1-$C$188))*(G$3=$C$182+GPU_life-1)</f>
        <v>-1855.8934005066662</v>
      </c>
      <c r="H200" s="54">
        <f>H197+H199-$C$189*IF($C$182=0,--(H$3=0),--(H$3&lt;=$C$182-1)/$C$182)-$C$189*Assumptions!$F$38*IF(AND(H$3&gt;=1,H$3&lt;=$C$182),1,0)-$C$190*(H$3=$C$182)+($C$189*Facility_salvage_pct+$C$190*GPU_salvage_pct*(1-$C$188))*(H$3=$C$182+GPU_life-1)</f>
        <v>876.35529677333375</v>
      </c>
      <c r="I200" s="54">
        <f>I197+I199-$C$189*IF($C$182=0,--(I$3=0),--(I$3&lt;=$C$182-1)/$C$182)-$C$189*Assumptions!$F$38*IF(AND(I$3&gt;=1,I$3&lt;=$C$182),1,0)-$C$190*(I$3=$C$182)+($C$189*Facility_salvage_pct+$C$190*GPU_salvage_pct*(1-$C$188))*(I$3=$C$182+GPU_life-1)</f>
        <v>1015.8543197333339</v>
      </c>
      <c r="J200" s="54">
        <f>J197+J199-$C$189*IF($C$182=0,--(J$3=0),--(J$3&lt;=$C$182-1)/$C$182)-$C$189*Assumptions!$F$38*IF(AND(J$3&gt;=1,J$3&lt;=$C$182),1,0)-$C$190*(J$3=$C$182)+($C$189*Facility_salvage_pct+$C$190*GPU_salvage_pct*(1-$C$188))*(J$3=$C$182+GPU_life-1)</f>
        <v>1015.8543197333339</v>
      </c>
      <c r="K200" s="54">
        <f>K197+K199-$C$189*IF($C$182=0,--(K$3=0),--(K$3&lt;=$C$182-1)/$C$182)-$C$189*Assumptions!$F$38*IF(AND(K$3&gt;=1,K$3&lt;=$C$182),1,0)-$C$190*(K$3=$C$182)+($C$189*Facility_salvage_pct+$C$190*GPU_salvage_pct*(1-$C$188))*(K$3=$C$182+GPU_life-1)</f>
        <v>1992.3543197333338</v>
      </c>
      <c r="L200" s="54">
        <f>L197+L199-$C$189*IF($C$182=0,--(L$3=0),--(L$3&lt;=$C$182-1)/$C$182)-$C$189*Assumptions!$F$38*IF(AND(L$3&gt;=1,L$3&lt;=$C$182),1,0)-$C$190*(L$3=$C$182)+($C$189*Facility_salvage_pct+$C$190*GPU_salvage_pct*(1-$C$188))*(L$3=$C$182+GPU_life-1)</f>
        <v>0</v>
      </c>
      <c r="M200" s="54">
        <f>M197+M199-$C$189*IF($C$182=0,--(M$3=0),--(M$3&lt;=$C$182-1)/$C$182)-$C$189*Assumptions!$F$38*IF(AND(M$3&gt;=1,M$3&lt;=$C$182),1,0)-$C$190*(M$3=$C$182)+($C$189*Facility_salvage_pct+$C$190*GPU_salvage_pct*(1-$C$188))*(M$3=$C$182+GPU_life-1)</f>
        <v>0</v>
      </c>
      <c r="N200" s="54">
        <f>N197+N199-$C$189*IF($C$182=0,--(N$3=0),--(N$3&lt;=$C$182-1)/$C$182)-$C$189*Assumptions!$F$38*IF(AND(N$3&gt;=1,N$3&lt;=$C$182),1,0)-$C$190*(N$3=$C$182)+($C$189*Facility_salvage_pct+$C$190*GPU_salvage_pct*(1-$C$188))*(N$3=$C$182+GPU_life-1)</f>
        <v>0</v>
      </c>
      <c r="O200" s="54">
        <f>O197+O199-$C$189*IF($C$182=0,--(O$3=0),--(O$3&lt;=$C$182-1)/$C$182)-$C$189*Assumptions!$F$38*IF(AND(O$3&gt;=1,O$3&lt;=$C$182),1,0)-$C$190*(O$3=$C$182)+($C$189*Facility_salvage_pct+$C$190*GPU_salvage_pct*(1-$C$188))*(O$3=$C$182+GPU_life-1)</f>
        <v>0</v>
      </c>
      <c r="P200" s="54">
        <f>P197+P199-$C$189*IF($C$182=0,--(P$3=0),--(P$3&lt;=$C$182-1)/$C$182)-$C$189*Assumptions!$F$38*IF(AND(P$3&gt;=1,P$3&lt;=$C$182),1,0)-$C$190*(P$3=$C$182)+($C$189*Facility_salvage_pct+$C$190*GPU_salvage_pct*(1-$C$188))*(P$3=$C$182+GPU_life-1)</f>
        <v>0</v>
      </c>
      <c r="Q200" s="54">
        <f>Q197+Q199-$C$189*IF($C$182=0,--(Q$3=0),--(Q$3&lt;=$C$182-1)/$C$182)-$C$189*Assumptions!$F$38*IF(AND(Q$3&gt;=1,Q$3&lt;=$C$182),1,0)-$C$190*(Q$3=$C$182)+($C$189*Facility_salvage_pct+$C$190*GPU_salvage_pct*(1-$C$188))*(Q$3=$C$182+GPU_life-1)</f>
        <v>0</v>
      </c>
      <c r="R200" s="54">
        <f>R197+R199-$C$189*IF($C$182=0,--(R$3=0),--(R$3&lt;=$C$182-1)/$C$182)-$C$189*Assumptions!$F$38*IF(AND(R$3&gt;=1,R$3&lt;=$C$182),1,0)-$C$190*(R$3=$C$182)+($C$189*Facility_salvage_pct+$C$190*GPU_salvage_pct*(1-$C$188))*(R$3=$C$182+GPU_life-1)</f>
        <v>0</v>
      </c>
      <c r="S200" s="54">
        <f>S197+S199-$C$189*IF($C$182=0,--(S$3=0),--(S$3&lt;=$C$182-1)/$C$182)-$C$189*Assumptions!$F$38*IF(AND(S$3&gt;=1,S$3&lt;=$C$182),1,0)-$C$190*(S$3=$C$182)+($C$189*Facility_salvage_pct+$C$190*GPU_salvage_pct*(1-$C$188))*(S$3=$C$182+GPU_life-1)</f>
        <v>0</v>
      </c>
      <c r="T200" s="54">
        <f>T197+T199-$C$189*IF($C$182=0,--(T$3=0),--(T$3&lt;=$C$182-1)/$C$182)-$C$189*Assumptions!$F$38*IF(AND(T$3&gt;=1,T$3&lt;=$C$182),1,0)-$C$190*(T$3=$C$182)+($C$189*Facility_salvage_pct+$C$190*GPU_salvage_pct*(1-$C$188))*(T$3=$C$182+GPU_life-1)</f>
        <v>0</v>
      </c>
      <c r="U200" s="54">
        <f>U197+U199-$C$189*IF($C$182=0,--(U$3=0),--(U$3&lt;=$C$182-1)/$C$182)-$C$189*Assumptions!$F$38*IF(AND(U$3&gt;=1,U$3&lt;=$C$182),1,0)-$C$190*(U$3=$C$182)+($C$189*Facility_salvage_pct+$C$190*GPU_salvage_pct*(1-$C$188))*(U$3=$C$182+GPU_life-1)</f>
        <v>0</v>
      </c>
      <c r="V200" s="54">
        <f>V197+V199-$C$189*IF($C$182=0,--(V$3=0),--(V$3&lt;=$C$182-1)/$C$182)-$C$189*Assumptions!$F$38*IF(AND(V$3&gt;=1,V$3&lt;=$C$182),1,0)-$C$190*(V$3=$C$182)+($C$189*Facility_salvage_pct+$C$190*GPU_salvage_pct*(1-$C$188))*(V$3=$C$182+GPU_life-1)</f>
        <v>0</v>
      </c>
      <c r="W200" s="54">
        <f>W197+W199-$C$189*IF($C$182=0,--(W$3=0),--(W$3&lt;=$C$182-1)/$C$182)-$C$189*Assumptions!$F$38*IF(AND(W$3&gt;=1,W$3&lt;=$C$182),1,0)-$C$190*(W$3=$C$182)+($C$189*Facility_salvage_pct+$C$190*GPU_salvage_pct*(1-$C$188))*(W$3=$C$182+GPU_life-1)</f>
        <v>0</v>
      </c>
    </row>
    <row r="201" spans="1:23" ht="15" customHeight="1" x14ac:dyDescent="0.2">
      <c r="A201" s="4" t="s">
        <v>2154</v>
      </c>
      <c r="D201" s="54">
        <f t="shared" ref="D201:W201" si="43">D200*$C$184^D$3</f>
        <v>-583.33333333333326</v>
      </c>
      <c r="E201" s="54">
        <f t="shared" si="43"/>
        <v>-565.26644411473785</v>
      </c>
      <c r="F201" s="54">
        <f t="shared" si="43"/>
        <v>-524.17140589274641</v>
      </c>
      <c r="G201" s="54">
        <f t="shared" si="43"/>
        <v>-1479.8353241438915</v>
      </c>
      <c r="H201" s="54">
        <f t="shared" si="43"/>
        <v>647.97865366022268</v>
      </c>
      <c r="I201" s="54">
        <f t="shared" si="43"/>
        <v>696.51750512395563</v>
      </c>
      <c r="J201" s="54">
        <f t="shared" si="43"/>
        <v>645.88047581969181</v>
      </c>
      <c r="K201" s="54">
        <f t="shared" si="43"/>
        <v>1174.6471286690687</v>
      </c>
      <c r="L201" s="54">
        <f t="shared" si="43"/>
        <v>0</v>
      </c>
      <c r="M201" s="54">
        <f t="shared" si="43"/>
        <v>0</v>
      </c>
      <c r="N201" s="54">
        <f t="shared" si="43"/>
        <v>0</v>
      </c>
      <c r="O201" s="54">
        <f t="shared" si="43"/>
        <v>0</v>
      </c>
      <c r="P201" s="54">
        <f t="shared" si="43"/>
        <v>0</v>
      </c>
      <c r="Q201" s="54">
        <f t="shared" si="43"/>
        <v>0</v>
      </c>
      <c r="R201" s="54">
        <f t="shared" si="43"/>
        <v>0</v>
      </c>
      <c r="S201" s="54">
        <f t="shared" si="43"/>
        <v>0</v>
      </c>
      <c r="T201" s="54">
        <f t="shared" si="43"/>
        <v>0</v>
      </c>
      <c r="U201" s="54">
        <f t="shared" si="43"/>
        <v>0</v>
      </c>
      <c r="V201" s="54">
        <f t="shared" si="43"/>
        <v>0</v>
      </c>
      <c r="W201" s="54">
        <f t="shared" si="43"/>
        <v>0</v>
      </c>
    </row>
    <row r="202" spans="1:23" ht="15" customHeight="1" x14ac:dyDescent="0.2">
      <c r="A202" s="4" t="s">
        <v>2155</v>
      </c>
      <c r="D202" s="54">
        <f t="shared" ref="D202:W202" si="44">(D196-$C$185*D194)*(1-$C$188)*$C$184^D$3</f>
        <v>0</v>
      </c>
      <c r="E202" s="54">
        <f t="shared" si="44"/>
        <v>0</v>
      </c>
      <c r="F202" s="54">
        <f t="shared" si="44"/>
        <v>0</v>
      </c>
      <c r="G202" s="54">
        <f t="shared" si="44"/>
        <v>482.00731131151036</v>
      </c>
      <c r="H202" s="54">
        <f t="shared" si="44"/>
        <v>584.49300190422241</v>
      </c>
      <c r="I202" s="54">
        <f t="shared" si="44"/>
        <v>637.64727908908878</v>
      </c>
      <c r="J202" s="54">
        <f t="shared" si="44"/>
        <v>591.29013268646952</v>
      </c>
      <c r="K202" s="54">
        <f t="shared" si="44"/>
        <v>548.30316458315053</v>
      </c>
      <c r="L202" s="54">
        <f t="shared" si="44"/>
        <v>0</v>
      </c>
      <c r="M202" s="54">
        <f t="shared" si="44"/>
        <v>0</v>
      </c>
      <c r="N202" s="54">
        <f t="shared" si="44"/>
        <v>0</v>
      </c>
      <c r="O202" s="54">
        <f t="shared" si="44"/>
        <v>0</v>
      </c>
      <c r="P202" s="54">
        <f t="shared" si="44"/>
        <v>0</v>
      </c>
      <c r="Q202" s="54">
        <f t="shared" si="44"/>
        <v>0</v>
      </c>
      <c r="R202" s="54">
        <f t="shared" si="44"/>
        <v>0</v>
      </c>
      <c r="S202" s="54">
        <f t="shared" si="44"/>
        <v>0</v>
      </c>
      <c r="T202" s="54">
        <f t="shared" si="44"/>
        <v>0</v>
      </c>
      <c r="U202" s="54">
        <f t="shared" si="44"/>
        <v>0</v>
      </c>
      <c r="V202" s="54">
        <f t="shared" si="44"/>
        <v>0</v>
      </c>
      <c r="W202" s="54">
        <f t="shared" si="44"/>
        <v>0</v>
      </c>
    </row>
    <row r="203" spans="1:23" ht="15" customHeight="1" x14ac:dyDescent="0.2">
      <c r="A203" t="s">
        <v>2156</v>
      </c>
      <c r="C203" s="57">
        <f>INDEX(Assumptions!$F$50:$H$54,$C$187,MATCH(Assumptions!$B$4,Assumptions!$D$9:$F$9,0))</f>
        <v>3</v>
      </c>
    </row>
    <row r="204" spans="1:23" ht="15" customHeight="1" x14ac:dyDescent="0.2">
      <c r="A204" s="22" t="s">
        <v>2157</v>
      </c>
      <c r="C204" s="51">
        <f>SUM(D201:W201)</f>
        <v>12.417255788229795</v>
      </c>
    </row>
    <row r="205" spans="1:23" ht="15" customHeight="1" x14ac:dyDescent="0.2">
      <c r="A205" s="4" t="s">
        <v>2158</v>
      </c>
      <c r="C205" s="48">
        <f>SUM(D202:W202)</f>
        <v>2843.7408895744416</v>
      </c>
    </row>
    <row r="206" spans="1:23" ht="15" customHeight="1" x14ac:dyDescent="0.2">
      <c r="A206" s="4" t="s">
        <v>63</v>
      </c>
      <c r="C206" s="31">
        <f>IF(C205&lt;=0,"n/a",IF(Assumptions!$C$45*(1-C204/C205)&gt;1,"&gt;100% (never)",Assumptions!$C$45*(1-C204/C205)))</f>
        <v>0.87615746106345249</v>
      </c>
    </row>
    <row r="208" spans="1:23" ht="15" customHeight="1" x14ac:dyDescent="0.2">
      <c r="A208" s="5"/>
      <c r="C208" s="48"/>
    </row>
    <row r="209" spans="1:3" ht="15" customHeight="1" x14ac:dyDescent="0.2">
      <c r="A209" s="5"/>
      <c r="C209" s="48"/>
    </row>
    <row r="210" spans="1:3" ht="15" customHeight="1" x14ac:dyDescent="0.2">
      <c r="A210" s="5"/>
      <c r="C210" s="28"/>
    </row>
    <row r="211" spans="1:3" ht="15" customHeight="1" x14ac:dyDescent="0.2">
      <c r="A211" s="5"/>
      <c r="C211" s="28"/>
    </row>
    <row r="212" spans="1:3" ht="15" customHeight="1" x14ac:dyDescent="0.2">
      <c r="A212" s="5"/>
      <c r="C212" s="48"/>
    </row>
    <row r="213" spans="1:3" ht="15" customHeight="1" x14ac:dyDescent="0.2">
      <c r="A213" s="5"/>
      <c r="C213" s="48"/>
    </row>
    <row r="214" spans="1:3" ht="15" customHeight="1" x14ac:dyDescent="0.2">
      <c r="A214" s="5"/>
      <c r="C214" s="48"/>
    </row>
    <row r="215" spans="1:3" ht="15" customHeight="1" x14ac:dyDescent="0.2">
      <c r="A215" s="5"/>
      <c r="C215" s="48"/>
    </row>
    <row r="216" spans="1:3" ht="15" customHeight="1" x14ac:dyDescent="0.2">
      <c r="A216" s="5"/>
      <c r="C216" s="48"/>
    </row>
    <row r="217" spans="1:3" ht="15" customHeight="1" x14ac:dyDescent="0.2">
      <c r="A217" s="5"/>
      <c r="C217" s="48"/>
    </row>
    <row r="218" spans="1:3" ht="15" customHeight="1" x14ac:dyDescent="0.2">
      <c r="A218" s="5"/>
      <c r="C218" s="48"/>
    </row>
    <row r="219" spans="1:3" ht="15" customHeight="1" x14ac:dyDescent="0.2">
      <c r="A219" s="5"/>
      <c r="C219" s="48"/>
    </row>
    <row r="220" spans="1:3" ht="15" customHeight="1" x14ac:dyDescent="0.2">
      <c r="A220" s="5"/>
      <c r="C220" s="48"/>
    </row>
    <row r="221" spans="1:3" ht="15" customHeight="1" x14ac:dyDescent="0.2">
      <c r="A221" s="5"/>
      <c r="C221" s="48"/>
    </row>
    <row r="222" spans="1:3" ht="15" customHeight="1" x14ac:dyDescent="0.2">
      <c r="A222" s="5"/>
      <c r="C222" s="48"/>
    </row>
    <row r="225" spans="1:23" ht="15" customHeight="1" x14ac:dyDescent="0.2">
      <c r="A225" s="7" t="s">
        <v>2163</v>
      </c>
      <c r="B225" s="4" t="s">
        <v>247</v>
      </c>
    </row>
    <row r="226" spans="1:23" ht="15" customHeight="1" x14ac:dyDescent="0.2">
      <c r="A226" s="4" t="s">
        <v>2137</v>
      </c>
      <c r="C226" s="28">
        <f>ROUND($C$247,0)</f>
        <v>3</v>
      </c>
    </row>
    <row r="227" spans="1:23" ht="15" customHeight="1" x14ac:dyDescent="0.2">
      <c r="A227" s="4" t="s">
        <v>2138</v>
      </c>
      <c r="C227" s="28">
        <f>INDEX(Assumptions!$I$50:$K$54,$C$231,MATCH(Assumptions!$B$4,Assumptions!$D$9:$F$9,0))+Assumptions!$D$46</f>
        <v>0.1234</v>
      </c>
    </row>
    <row r="228" spans="1:23" ht="15" customHeight="1" x14ac:dyDescent="0.2">
      <c r="A228" s="4" t="s">
        <v>2139</v>
      </c>
      <c r="C228" s="28">
        <f>1/(1+$C$227)</f>
        <v>0.8901548869503294</v>
      </c>
    </row>
    <row r="229" spans="1:23" ht="15" customHeight="1" x14ac:dyDescent="0.2">
      <c r="A229" s="4" t="s">
        <v>2140</v>
      </c>
      <c r="C229" s="48">
        <f>IT_load_MW*INDEX(Assumptions!$M$50:$M$54,$C$231,1)*Hours_per_year*INDEX(Assumptions!$C$50:$E$54,$C$231,MATCH(Assumptions!$B$4,Assumptions!$D$9:$F$9,0))*Assumptions!$D$45/Unit_scale</f>
        <v>87.381</v>
      </c>
    </row>
    <row r="230" spans="1:23" ht="15" customHeight="1" x14ac:dyDescent="0.2">
      <c r="A230" s="4" t="s">
        <v>2141</v>
      </c>
      <c r="C230" s="48">
        <f>IT_load_MW*OM_fixed+Insurance_rate*Calculations!$C$6+INDEX(Assumptions!$O$50:$O$54,$C$231,1)*($C$233+Calculations!$C$6)*(1-Prop_tax_abatement)</f>
        <v>90.754999999999995</v>
      </c>
    </row>
    <row r="231" spans="1:23" ht="15" customHeight="1" x14ac:dyDescent="0.2">
      <c r="A231" s="4" t="s">
        <v>2142</v>
      </c>
      <c r="C231" s="48">
        <f>MATCH($B$225,Assumptions!$B$50:$B$54,0)</f>
        <v>3</v>
      </c>
    </row>
    <row r="232" spans="1:23" ht="15" customHeight="1" x14ac:dyDescent="0.2">
      <c r="A232" s="4" t="s">
        <v>2143</v>
      </c>
      <c r="C232" s="28">
        <f>INDEX(Assumptions!$L$50:$L$54,MATCH($B$225,Assumptions!$B$50:$B$54,0),1)</f>
        <v>0.25</v>
      </c>
    </row>
    <row r="233" spans="1:23" ht="15" customHeight="1" x14ac:dyDescent="0.2">
      <c r="A233" s="4" t="s">
        <v>2144</v>
      </c>
      <c r="C233" s="48">
        <f>IT_load_MW*(Facility_capex_MW+INDEX(Assumptions!$N$50:$N$54,$C$231,1))</f>
        <v>1750</v>
      </c>
    </row>
    <row r="234" spans="1:23" ht="15" customHeight="1" x14ac:dyDescent="0.2">
      <c r="A234" s="4" t="s">
        <v>2145</v>
      </c>
      <c r="C234" s="50">
        <f>Calculations!$C$6</f>
        <v>2520</v>
      </c>
    </row>
    <row r="235" spans="1:23" ht="15" customHeight="1" x14ac:dyDescent="0.2">
      <c r="A235" s="4" t="s">
        <v>2146</v>
      </c>
      <c r="C235" s="48">
        <f>IT_load_MW*Assumptions!$G$12*Hours_per_year*Assumptions!$D$45/Unit_scale*Compute_P0</f>
        <v>2097.1440000000002</v>
      </c>
    </row>
    <row r="236" spans="1:23" ht="15" customHeight="1" x14ac:dyDescent="0.2">
      <c r="A236" s="4" t="s">
        <v>2147</v>
      </c>
      <c r="D236" s="4">
        <f t="shared" ref="D236:W236" si="45">IF(D$3&lt;$C$226,0,IF(D$3&lt;=$C$226+GPU_life-1,1,0))</f>
        <v>0</v>
      </c>
      <c r="E236" s="4">
        <f t="shared" si="45"/>
        <v>0</v>
      </c>
      <c r="F236" s="4">
        <f t="shared" si="45"/>
        <v>0</v>
      </c>
      <c r="G236" s="4">
        <f t="shared" si="45"/>
        <v>1</v>
      </c>
      <c r="H236" s="4">
        <f t="shared" si="45"/>
        <v>1</v>
      </c>
      <c r="I236" s="4">
        <f t="shared" si="45"/>
        <v>1</v>
      </c>
      <c r="J236" s="4">
        <f t="shared" si="45"/>
        <v>1</v>
      </c>
      <c r="K236" s="4">
        <f t="shared" si="45"/>
        <v>1</v>
      </c>
      <c r="L236" s="4">
        <f t="shared" si="45"/>
        <v>0</v>
      </c>
      <c r="M236" s="4">
        <f t="shared" si="45"/>
        <v>0</v>
      </c>
      <c r="N236" s="4">
        <f t="shared" si="45"/>
        <v>0</v>
      </c>
      <c r="O236" s="4">
        <f t="shared" si="45"/>
        <v>0</v>
      </c>
      <c r="P236" s="4">
        <f t="shared" si="45"/>
        <v>0</v>
      </c>
      <c r="Q236" s="4">
        <f t="shared" si="45"/>
        <v>0</v>
      </c>
      <c r="R236" s="4">
        <f t="shared" si="45"/>
        <v>0</v>
      </c>
      <c r="S236" s="4">
        <f t="shared" si="45"/>
        <v>0</v>
      </c>
      <c r="T236" s="4">
        <f t="shared" si="45"/>
        <v>0</v>
      </c>
      <c r="U236" s="4">
        <f t="shared" si="45"/>
        <v>0</v>
      </c>
      <c r="V236" s="4">
        <f t="shared" si="45"/>
        <v>0</v>
      </c>
      <c r="W236" s="4">
        <f t="shared" si="45"/>
        <v>0</v>
      </c>
    </row>
    <row r="237" spans="1:23" ht="15" customHeight="1" x14ac:dyDescent="0.2">
      <c r="A237" s="4" t="s">
        <v>35</v>
      </c>
      <c r="D237" s="4">
        <f t="shared" ref="D237:W237" si="46">--(D236&gt;0)</f>
        <v>0</v>
      </c>
      <c r="E237" s="4">
        <f t="shared" si="46"/>
        <v>0</v>
      </c>
      <c r="F237" s="4">
        <f t="shared" si="46"/>
        <v>0</v>
      </c>
      <c r="G237" s="4">
        <f t="shared" si="46"/>
        <v>1</v>
      </c>
      <c r="H237" s="4">
        <f t="shared" si="46"/>
        <v>1</v>
      </c>
      <c r="I237" s="4">
        <f t="shared" si="46"/>
        <v>1</v>
      </c>
      <c r="J237" s="4">
        <f t="shared" si="46"/>
        <v>1</v>
      </c>
      <c r="K237" s="4">
        <f t="shared" si="46"/>
        <v>1</v>
      </c>
      <c r="L237" s="4">
        <f t="shared" si="46"/>
        <v>0</v>
      </c>
      <c r="M237" s="4">
        <f t="shared" si="46"/>
        <v>0</v>
      </c>
      <c r="N237" s="4">
        <f t="shared" si="46"/>
        <v>0</v>
      </c>
      <c r="O237" s="4">
        <f t="shared" si="46"/>
        <v>0</v>
      </c>
      <c r="P237" s="4">
        <f t="shared" si="46"/>
        <v>0</v>
      </c>
      <c r="Q237" s="4">
        <f t="shared" si="46"/>
        <v>0</v>
      </c>
      <c r="R237" s="4">
        <f t="shared" si="46"/>
        <v>0</v>
      </c>
      <c r="S237" s="4">
        <f t="shared" si="46"/>
        <v>0</v>
      </c>
      <c r="T237" s="4">
        <f t="shared" si="46"/>
        <v>0</v>
      </c>
      <c r="U237" s="4">
        <f t="shared" si="46"/>
        <v>0</v>
      </c>
      <c r="V237" s="4">
        <f t="shared" si="46"/>
        <v>0</v>
      </c>
      <c r="W237" s="4">
        <f t="shared" si="46"/>
        <v>0</v>
      </c>
    </row>
    <row r="238" spans="1:23" ht="15" customHeight="1" x14ac:dyDescent="0.2">
      <c r="A238" s="4" t="s">
        <v>2148</v>
      </c>
      <c r="D238" s="28">
        <f t="shared" ref="D238:W238" si="47">D237*(1-(1-Ramp_yr1)*((D$3-$C$226)=0)-(1-Ramp_yr2)*((D$3-$C$226)=1))</f>
        <v>0</v>
      </c>
      <c r="E238" s="28">
        <f t="shared" si="47"/>
        <v>0</v>
      </c>
      <c r="F238" s="28">
        <f t="shared" si="47"/>
        <v>0</v>
      </c>
      <c r="G238" s="28">
        <f t="shared" si="47"/>
        <v>0.65</v>
      </c>
      <c r="H238" s="28">
        <f t="shared" si="47"/>
        <v>0.85</v>
      </c>
      <c r="I238" s="28">
        <f t="shared" si="47"/>
        <v>1</v>
      </c>
      <c r="J238" s="28">
        <f t="shared" si="47"/>
        <v>1</v>
      </c>
      <c r="K238" s="28">
        <f t="shared" si="47"/>
        <v>1</v>
      </c>
      <c r="L238" s="28">
        <f t="shared" si="47"/>
        <v>0</v>
      </c>
      <c r="M238" s="28">
        <f t="shared" si="47"/>
        <v>0</v>
      </c>
      <c r="N238" s="28">
        <f t="shared" si="47"/>
        <v>0</v>
      </c>
      <c r="O238" s="28">
        <f t="shared" si="47"/>
        <v>0</v>
      </c>
      <c r="P238" s="28">
        <f t="shared" si="47"/>
        <v>0</v>
      </c>
      <c r="Q238" s="28">
        <f t="shared" si="47"/>
        <v>0</v>
      </c>
      <c r="R238" s="28">
        <f t="shared" si="47"/>
        <v>0</v>
      </c>
      <c r="S238" s="28">
        <f t="shared" si="47"/>
        <v>0</v>
      </c>
      <c r="T238" s="28">
        <f t="shared" si="47"/>
        <v>0</v>
      </c>
      <c r="U238" s="28">
        <f t="shared" si="47"/>
        <v>0</v>
      </c>
      <c r="V238" s="28">
        <f t="shared" si="47"/>
        <v>0</v>
      </c>
      <c r="W238" s="28">
        <f t="shared" si="47"/>
        <v>0</v>
      </c>
    </row>
    <row r="239" spans="1:23" ht="15" customHeight="1" x14ac:dyDescent="0.2">
      <c r="A239" s="4" t="s">
        <v>2149</v>
      </c>
      <c r="D239" s="48">
        <f t="shared" ref="D239:W239" si="48">MAX(Price_floor,Compute_P0*(1-Price_decline)^MAX($C$247+D$3-$C$226))</f>
        <v>5.7</v>
      </c>
      <c r="E239" s="48">
        <f t="shared" si="48"/>
        <v>4.5600000000000005</v>
      </c>
      <c r="F239" s="48">
        <f t="shared" si="48"/>
        <v>3.648000000000001</v>
      </c>
      <c r="G239" s="48">
        <f t="shared" si="48"/>
        <v>2.918400000000001</v>
      </c>
      <c r="H239" s="48">
        <f t="shared" si="48"/>
        <v>2.5</v>
      </c>
      <c r="I239" s="48">
        <f t="shared" si="48"/>
        <v>2.5</v>
      </c>
      <c r="J239" s="48">
        <f t="shared" si="48"/>
        <v>2.5</v>
      </c>
      <c r="K239" s="48">
        <f t="shared" si="48"/>
        <v>2.5</v>
      </c>
      <c r="L239" s="48">
        <f t="shared" si="48"/>
        <v>2.5</v>
      </c>
      <c r="M239" s="48">
        <f t="shared" si="48"/>
        <v>2.5</v>
      </c>
      <c r="N239" s="48">
        <f t="shared" si="48"/>
        <v>2.5</v>
      </c>
      <c r="O239" s="48">
        <f t="shared" si="48"/>
        <v>2.5</v>
      </c>
      <c r="P239" s="48">
        <f t="shared" si="48"/>
        <v>2.5</v>
      </c>
      <c r="Q239" s="48">
        <f t="shared" si="48"/>
        <v>2.5</v>
      </c>
      <c r="R239" s="48">
        <f t="shared" si="48"/>
        <v>2.5</v>
      </c>
      <c r="S239" s="48">
        <f t="shared" si="48"/>
        <v>2.5</v>
      </c>
      <c r="T239" s="48">
        <f t="shared" si="48"/>
        <v>2.5</v>
      </c>
      <c r="U239" s="48">
        <f t="shared" si="48"/>
        <v>2.5</v>
      </c>
      <c r="V239" s="48">
        <f t="shared" si="48"/>
        <v>2.5</v>
      </c>
      <c r="W239" s="48">
        <f t="shared" si="48"/>
        <v>2.5</v>
      </c>
    </row>
    <row r="240" spans="1:23" ht="15" customHeight="1" x14ac:dyDescent="0.2">
      <c r="A240" s="4" t="s">
        <v>2150</v>
      </c>
      <c r="D240" s="54">
        <f t="shared" ref="D240:W240" si="49">$C$235*D239/Compute_P0*D238</f>
        <v>0</v>
      </c>
      <c r="E240" s="54">
        <f t="shared" si="49"/>
        <v>0</v>
      </c>
      <c r="F240" s="54">
        <f t="shared" si="49"/>
        <v>0</v>
      </c>
      <c r="G240" s="54">
        <f t="shared" si="49"/>
        <v>697.92952320000018</v>
      </c>
      <c r="H240" s="54">
        <f t="shared" si="49"/>
        <v>781.83</v>
      </c>
      <c r="I240" s="54">
        <f t="shared" si="49"/>
        <v>919.80000000000007</v>
      </c>
      <c r="J240" s="54">
        <f t="shared" si="49"/>
        <v>919.80000000000007</v>
      </c>
      <c r="K240" s="54">
        <f t="shared" si="49"/>
        <v>919.80000000000007</v>
      </c>
      <c r="L240" s="54">
        <f t="shared" si="49"/>
        <v>0</v>
      </c>
      <c r="M240" s="54">
        <f t="shared" si="49"/>
        <v>0</v>
      </c>
      <c r="N240" s="54">
        <f t="shared" si="49"/>
        <v>0</v>
      </c>
      <c r="O240" s="54">
        <f t="shared" si="49"/>
        <v>0</v>
      </c>
      <c r="P240" s="54">
        <f t="shared" si="49"/>
        <v>0</v>
      </c>
      <c r="Q240" s="54">
        <f t="shared" si="49"/>
        <v>0</v>
      </c>
      <c r="R240" s="54">
        <f t="shared" si="49"/>
        <v>0</v>
      </c>
      <c r="S240" s="54">
        <f t="shared" si="49"/>
        <v>0</v>
      </c>
      <c r="T240" s="54">
        <f t="shared" si="49"/>
        <v>0</v>
      </c>
      <c r="U240" s="54">
        <f t="shared" si="49"/>
        <v>0</v>
      </c>
      <c r="V240" s="54">
        <f t="shared" si="49"/>
        <v>0</v>
      </c>
      <c r="W240" s="54">
        <f t="shared" si="49"/>
        <v>0</v>
      </c>
    </row>
    <row r="241" spans="1:23" ht="15" customHeight="1" x14ac:dyDescent="0.2">
      <c r="A241" s="4" t="s">
        <v>42</v>
      </c>
      <c r="D241" s="54">
        <f t="shared" ref="D241:W241" si="50">D240-$C$229*D238-$C$230*D237</f>
        <v>0</v>
      </c>
      <c r="E241" s="54">
        <f t="shared" si="50"/>
        <v>0</v>
      </c>
      <c r="F241" s="54">
        <f t="shared" si="50"/>
        <v>0</v>
      </c>
      <c r="G241" s="54">
        <f t="shared" si="50"/>
        <v>550.3768732000002</v>
      </c>
      <c r="H241" s="54">
        <f t="shared" si="50"/>
        <v>616.80115000000001</v>
      </c>
      <c r="I241" s="54">
        <f t="shared" si="50"/>
        <v>741.6640000000001</v>
      </c>
      <c r="J241" s="54">
        <f t="shared" si="50"/>
        <v>741.6640000000001</v>
      </c>
      <c r="K241" s="54">
        <f t="shared" si="50"/>
        <v>741.6640000000001</v>
      </c>
      <c r="L241" s="54">
        <f t="shared" si="50"/>
        <v>0</v>
      </c>
      <c r="M241" s="54">
        <f t="shared" si="50"/>
        <v>0</v>
      </c>
      <c r="N241" s="54">
        <f t="shared" si="50"/>
        <v>0</v>
      </c>
      <c r="O241" s="54">
        <f t="shared" si="50"/>
        <v>0</v>
      </c>
      <c r="P241" s="54">
        <f t="shared" si="50"/>
        <v>0</v>
      </c>
      <c r="Q241" s="54">
        <f t="shared" si="50"/>
        <v>0</v>
      </c>
      <c r="R241" s="54">
        <f t="shared" si="50"/>
        <v>0</v>
      </c>
      <c r="S241" s="54">
        <f t="shared" si="50"/>
        <v>0</v>
      </c>
      <c r="T241" s="54">
        <f t="shared" si="50"/>
        <v>0</v>
      </c>
      <c r="U241" s="54">
        <f t="shared" si="50"/>
        <v>0</v>
      </c>
      <c r="V241" s="54">
        <f t="shared" si="50"/>
        <v>0</v>
      </c>
      <c r="W241" s="54">
        <f t="shared" si="50"/>
        <v>0</v>
      </c>
    </row>
    <row r="242" spans="1:23" ht="15" customHeight="1" x14ac:dyDescent="0.2">
      <c r="A242" s="4" t="s">
        <v>2151</v>
      </c>
      <c r="D242" s="54">
        <f>-($C$233*Calculations!$C$15+$C$234/GPU_life)*D237</f>
        <v>0</v>
      </c>
      <c r="E242" s="54">
        <f>-($C$233*Calculations!$C$15+$C$234/GPU_life)*E237</f>
        <v>0</v>
      </c>
      <c r="F242" s="54">
        <f>-($C$233*Calculations!$C$15+$C$234/GPU_life)*F237</f>
        <v>0</v>
      </c>
      <c r="G242" s="54">
        <f>-($C$233*Calculations!$C$15+$C$234/GPU_life)*G237</f>
        <v>-615.70833333333337</v>
      </c>
      <c r="H242" s="54">
        <f>-($C$233*Calculations!$C$15+$C$234/GPU_life)*H237</f>
        <v>-615.70833333333337</v>
      </c>
      <c r="I242" s="54">
        <f>-($C$233*Calculations!$C$15+$C$234/GPU_life)*I237</f>
        <v>-615.70833333333337</v>
      </c>
      <c r="J242" s="54">
        <f>-($C$233*Calculations!$C$15+$C$234/GPU_life)*J237</f>
        <v>-615.70833333333337</v>
      </c>
      <c r="K242" s="54">
        <f>-($C$233*Calculations!$C$15+$C$234/GPU_life)*K237</f>
        <v>-615.70833333333337</v>
      </c>
      <c r="L242" s="54">
        <f>-($C$233*Calculations!$C$15+$C$234/GPU_life)*L237</f>
        <v>0</v>
      </c>
      <c r="M242" s="54">
        <f>-($C$233*Calculations!$C$15+$C$234/GPU_life)*M237</f>
        <v>0</v>
      </c>
      <c r="N242" s="54">
        <f>-($C$233*Calculations!$C$15+$C$234/GPU_life)*N237</f>
        <v>0</v>
      </c>
      <c r="O242" s="54">
        <f>-($C$233*Calculations!$C$15+$C$234/GPU_life)*O237</f>
        <v>0</v>
      </c>
      <c r="P242" s="54">
        <f>-($C$233*Calculations!$C$15+$C$234/GPU_life)*P237</f>
        <v>0</v>
      </c>
      <c r="Q242" s="54">
        <f>-($C$233*Calculations!$C$15+$C$234/GPU_life)*Q237</f>
        <v>0</v>
      </c>
      <c r="R242" s="54">
        <f>-($C$233*Calculations!$C$15+$C$234/GPU_life)*R237</f>
        <v>0</v>
      </c>
      <c r="S242" s="54">
        <f>-($C$233*Calculations!$C$15+$C$234/GPU_life)*S237</f>
        <v>0</v>
      </c>
      <c r="T242" s="54">
        <f>-($C$233*Calculations!$C$15+$C$234/GPU_life)*T237</f>
        <v>0</v>
      </c>
      <c r="U242" s="54">
        <f>-($C$233*Calculations!$C$15+$C$234/GPU_life)*U237</f>
        <v>0</v>
      </c>
      <c r="V242" s="54">
        <f>-($C$233*Calculations!$C$15+$C$234/GPU_life)*V237</f>
        <v>0</v>
      </c>
      <c r="W242" s="54">
        <f>-($C$233*Calculations!$C$15+$C$234/GPU_life)*W237</f>
        <v>0</v>
      </c>
    </row>
    <row r="243" spans="1:23" ht="15" customHeight="1" x14ac:dyDescent="0.2">
      <c r="A243" s="4" t="s">
        <v>2152</v>
      </c>
      <c r="D243" s="54">
        <f t="shared" ref="D243:W243" si="51">-$C$232*MAX(D241+D242,0)</f>
        <v>0</v>
      </c>
      <c r="E243" s="54">
        <f t="shared" si="51"/>
        <v>0</v>
      </c>
      <c r="F243" s="54">
        <f t="shared" si="51"/>
        <v>0</v>
      </c>
      <c r="G243" s="54">
        <f t="shared" si="51"/>
        <v>0</v>
      </c>
      <c r="H243" s="54">
        <f t="shared" si="51"/>
        <v>-0.27320416666665892</v>
      </c>
      <c r="I243" s="54">
        <f t="shared" si="51"/>
        <v>-31.488916666666682</v>
      </c>
      <c r="J243" s="54">
        <f t="shared" si="51"/>
        <v>-31.488916666666682</v>
      </c>
      <c r="K243" s="54">
        <f t="shared" si="51"/>
        <v>-31.488916666666682</v>
      </c>
      <c r="L243" s="54">
        <f t="shared" si="51"/>
        <v>0</v>
      </c>
      <c r="M243" s="54">
        <f t="shared" si="51"/>
        <v>0</v>
      </c>
      <c r="N243" s="54">
        <f t="shared" si="51"/>
        <v>0</v>
      </c>
      <c r="O243" s="54">
        <f t="shared" si="51"/>
        <v>0</v>
      </c>
      <c r="P243" s="54">
        <f t="shared" si="51"/>
        <v>0</v>
      </c>
      <c r="Q243" s="54">
        <f t="shared" si="51"/>
        <v>0</v>
      </c>
      <c r="R243" s="54">
        <f t="shared" si="51"/>
        <v>0</v>
      </c>
      <c r="S243" s="54">
        <f t="shared" si="51"/>
        <v>0</v>
      </c>
      <c r="T243" s="54">
        <f t="shared" si="51"/>
        <v>0</v>
      </c>
      <c r="U243" s="54">
        <f t="shared" si="51"/>
        <v>0</v>
      </c>
      <c r="V243" s="54">
        <f t="shared" si="51"/>
        <v>0</v>
      </c>
      <c r="W243" s="54">
        <f t="shared" si="51"/>
        <v>0</v>
      </c>
    </row>
    <row r="244" spans="1:23" ht="15" customHeight="1" x14ac:dyDescent="0.2">
      <c r="A244" s="4" t="s">
        <v>2153</v>
      </c>
      <c r="D244" s="54">
        <f>D241+D243-$C$233*IF($C$226=0,--(D$3=0),--(D$3&lt;=$C$226-1)/$C$226)-$C$233*Assumptions!$F$38*IF(AND(D$3&gt;=1,D$3&lt;=$C$226),1,0)-$C$234*(D$3=$C$226)+($C$233*Facility_salvage_pct+$C$234*GPU_salvage_pct*(1-$C$232))*(D$3=$C$226+GPU_life-1)</f>
        <v>-583.33333333333326</v>
      </c>
      <c r="E244" s="54">
        <f>E241+E243-$C$233*IF($C$226=0,--(E$3=0),--(E$3&lt;=$C$226-1)/$C$226)-$C$233*Assumptions!$F$38*IF(AND(E$3&gt;=1,E$3&lt;=$C$226),1,0)-$C$234*(E$3=$C$226)+($C$233*Facility_salvage_pct+$C$234*GPU_salvage_pct*(1-$C$232))*(E$3=$C$226+GPU_life-1)</f>
        <v>-609.58333333333326</v>
      </c>
      <c r="F244" s="54">
        <f>F241+F243-$C$233*IF($C$226=0,--(F$3=0),--(F$3&lt;=$C$226-1)/$C$226)-$C$233*Assumptions!$F$38*IF(AND(F$3&gt;=1,F$3&lt;=$C$226),1,0)-$C$234*(F$3=$C$226)+($C$233*Facility_salvage_pct+$C$234*GPU_salvage_pct*(1-$C$232))*(F$3=$C$226+GPU_life-1)</f>
        <v>-609.58333333333326</v>
      </c>
      <c r="G244" s="54">
        <f>G241+G243-$C$233*IF($C$226=0,--(G$3=0),--(G$3&lt;=$C$226-1)/$C$226)-$C$233*Assumptions!$F$38*IF(AND(G$3&gt;=1,G$3&lt;=$C$226),1,0)-$C$234*(G$3=$C$226)+($C$233*Facility_salvage_pct+$C$234*GPU_salvage_pct*(1-$C$232))*(G$3=$C$226+GPU_life-1)</f>
        <v>-1995.8731267999997</v>
      </c>
      <c r="H244" s="54">
        <f>H241+H243-$C$233*IF($C$226=0,--(H$3=0),--(H$3&lt;=$C$226-1)/$C$226)-$C$233*Assumptions!$F$38*IF(AND(H$3&gt;=1,H$3&lt;=$C$226),1,0)-$C$234*(H$3=$C$226)+($C$233*Facility_salvage_pct+$C$234*GPU_salvage_pct*(1-$C$232))*(H$3=$C$226+GPU_life-1)</f>
        <v>616.52794583333332</v>
      </c>
      <c r="I244" s="54">
        <f>I241+I243-$C$233*IF($C$226=0,--(I$3=0),--(I$3&lt;=$C$226-1)/$C$226)-$C$233*Assumptions!$F$38*IF(AND(I$3&gt;=1,I$3&lt;=$C$226),1,0)-$C$234*(I$3=$C$226)+($C$233*Facility_salvage_pct+$C$234*GPU_salvage_pct*(1-$C$232))*(I$3=$C$226+GPU_life-1)</f>
        <v>710.17508333333342</v>
      </c>
      <c r="J244" s="54">
        <f>J241+J243-$C$233*IF($C$226=0,--(J$3=0),--(J$3&lt;=$C$226-1)/$C$226)-$C$233*Assumptions!$F$38*IF(AND(J$3&gt;=1,J$3&lt;=$C$226),1,0)-$C$234*(J$3=$C$226)+($C$233*Facility_salvage_pct+$C$234*GPU_salvage_pct*(1-$C$232))*(J$3=$C$226+GPU_life-1)</f>
        <v>710.17508333333342</v>
      </c>
      <c r="K244" s="54">
        <f>K241+K243-$C$233*IF($C$226=0,--(K$3=0),--(K$3&lt;=$C$226-1)/$C$226)-$C$233*Assumptions!$F$38*IF(AND(K$3&gt;=1,K$3&lt;=$C$226),1,0)-$C$234*(K$3=$C$226)+($C$233*Facility_salvage_pct+$C$234*GPU_salvage_pct*(1-$C$232))*(K$3=$C$226+GPU_life-1)</f>
        <v>1686.6750833333335</v>
      </c>
      <c r="L244" s="54">
        <f>L241+L243-$C$233*IF($C$226=0,--(L$3=0),--(L$3&lt;=$C$226-1)/$C$226)-$C$233*Assumptions!$F$38*IF(AND(L$3&gt;=1,L$3&lt;=$C$226),1,0)-$C$234*(L$3=$C$226)+($C$233*Facility_salvage_pct+$C$234*GPU_salvage_pct*(1-$C$232))*(L$3=$C$226+GPU_life-1)</f>
        <v>0</v>
      </c>
      <c r="M244" s="54">
        <f>M241+M243-$C$233*IF($C$226=0,--(M$3=0),--(M$3&lt;=$C$226-1)/$C$226)-$C$233*Assumptions!$F$38*IF(AND(M$3&gt;=1,M$3&lt;=$C$226),1,0)-$C$234*(M$3=$C$226)+($C$233*Facility_salvage_pct+$C$234*GPU_salvage_pct*(1-$C$232))*(M$3=$C$226+GPU_life-1)</f>
        <v>0</v>
      </c>
      <c r="N244" s="54">
        <f>N241+N243-$C$233*IF($C$226=0,--(N$3=0),--(N$3&lt;=$C$226-1)/$C$226)-$C$233*Assumptions!$F$38*IF(AND(N$3&gt;=1,N$3&lt;=$C$226),1,0)-$C$234*(N$3=$C$226)+($C$233*Facility_salvage_pct+$C$234*GPU_salvage_pct*(1-$C$232))*(N$3=$C$226+GPU_life-1)</f>
        <v>0</v>
      </c>
      <c r="O244" s="54">
        <f>O241+O243-$C$233*IF($C$226=0,--(O$3=0),--(O$3&lt;=$C$226-1)/$C$226)-$C$233*Assumptions!$F$38*IF(AND(O$3&gt;=1,O$3&lt;=$C$226),1,0)-$C$234*(O$3=$C$226)+($C$233*Facility_salvage_pct+$C$234*GPU_salvage_pct*(1-$C$232))*(O$3=$C$226+GPU_life-1)</f>
        <v>0</v>
      </c>
      <c r="P244" s="54">
        <f>P241+P243-$C$233*IF($C$226=0,--(P$3=0),--(P$3&lt;=$C$226-1)/$C$226)-$C$233*Assumptions!$F$38*IF(AND(P$3&gt;=1,P$3&lt;=$C$226),1,0)-$C$234*(P$3=$C$226)+($C$233*Facility_salvage_pct+$C$234*GPU_salvage_pct*(1-$C$232))*(P$3=$C$226+GPU_life-1)</f>
        <v>0</v>
      </c>
      <c r="Q244" s="54">
        <f>Q241+Q243-$C$233*IF($C$226=0,--(Q$3=0),--(Q$3&lt;=$C$226-1)/$C$226)-$C$233*Assumptions!$F$38*IF(AND(Q$3&gt;=1,Q$3&lt;=$C$226),1,0)-$C$234*(Q$3=$C$226)+($C$233*Facility_salvage_pct+$C$234*GPU_salvage_pct*(1-$C$232))*(Q$3=$C$226+GPU_life-1)</f>
        <v>0</v>
      </c>
      <c r="R244" s="54">
        <f>R241+R243-$C$233*IF($C$226=0,--(R$3=0),--(R$3&lt;=$C$226-1)/$C$226)-$C$233*Assumptions!$F$38*IF(AND(R$3&gt;=1,R$3&lt;=$C$226),1,0)-$C$234*(R$3=$C$226)+($C$233*Facility_salvage_pct+$C$234*GPU_salvage_pct*(1-$C$232))*(R$3=$C$226+GPU_life-1)</f>
        <v>0</v>
      </c>
      <c r="S244" s="54">
        <f>S241+S243-$C$233*IF($C$226=0,--(S$3=0),--(S$3&lt;=$C$226-1)/$C$226)-$C$233*Assumptions!$F$38*IF(AND(S$3&gt;=1,S$3&lt;=$C$226),1,0)-$C$234*(S$3=$C$226)+($C$233*Facility_salvage_pct+$C$234*GPU_salvage_pct*(1-$C$232))*(S$3=$C$226+GPU_life-1)</f>
        <v>0</v>
      </c>
      <c r="T244" s="54">
        <f>T241+T243-$C$233*IF($C$226=0,--(T$3=0),--(T$3&lt;=$C$226-1)/$C$226)-$C$233*Assumptions!$F$38*IF(AND(T$3&gt;=1,T$3&lt;=$C$226),1,0)-$C$234*(T$3=$C$226)+($C$233*Facility_salvage_pct+$C$234*GPU_salvage_pct*(1-$C$232))*(T$3=$C$226+GPU_life-1)</f>
        <v>0</v>
      </c>
      <c r="U244" s="54">
        <f>U241+U243-$C$233*IF($C$226=0,--(U$3=0),--(U$3&lt;=$C$226-1)/$C$226)-$C$233*Assumptions!$F$38*IF(AND(U$3&gt;=1,U$3&lt;=$C$226),1,0)-$C$234*(U$3=$C$226)+($C$233*Facility_salvage_pct+$C$234*GPU_salvage_pct*(1-$C$232))*(U$3=$C$226+GPU_life-1)</f>
        <v>0</v>
      </c>
      <c r="V244" s="54">
        <f>V241+V243-$C$233*IF($C$226=0,--(V$3=0),--(V$3&lt;=$C$226-1)/$C$226)-$C$233*Assumptions!$F$38*IF(AND(V$3&gt;=1,V$3&lt;=$C$226),1,0)-$C$234*(V$3=$C$226)+($C$233*Facility_salvage_pct+$C$234*GPU_salvage_pct*(1-$C$232))*(V$3=$C$226+GPU_life-1)</f>
        <v>0</v>
      </c>
      <c r="W244" s="54">
        <f>W241+W243-$C$233*IF($C$226=0,--(W$3=0),--(W$3&lt;=$C$226-1)/$C$226)-$C$233*Assumptions!$F$38*IF(AND(W$3&gt;=1,W$3&lt;=$C$226),1,0)-$C$234*(W$3=$C$226)+($C$233*Facility_salvage_pct+$C$234*GPU_salvage_pct*(1-$C$232))*(W$3=$C$226+GPU_life-1)</f>
        <v>0</v>
      </c>
    </row>
    <row r="245" spans="1:23" ht="15" customHeight="1" x14ac:dyDescent="0.2">
      <c r="A245" s="4" t="s">
        <v>2154</v>
      </c>
      <c r="D245" s="54">
        <f t="shared" ref="D245:W245" si="52">D244*$C$228^D$3</f>
        <v>-583.33333333333326</v>
      </c>
      <c r="E245" s="54">
        <f t="shared" si="52"/>
        <v>-542.6235831701382</v>
      </c>
      <c r="F245" s="54">
        <f t="shared" si="52"/>
        <v>-483.01903433339709</v>
      </c>
      <c r="G245" s="54">
        <f t="shared" si="52"/>
        <v>-1407.7634069685885</v>
      </c>
      <c r="H245" s="54">
        <f t="shared" si="52"/>
        <v>387.09279588346203</v>
      </c>
      <c r="I245" s="54">
        <f t="shared" si="52"/>
        <v>396.9111810327633</v>
      </c>
      <c r="J245" s="54">
        <f t="shared" si="52"/>
        <v>353.31242748154114</v>
      </c>
      <c r="K245" s="54">
        <f t="shared" si="52"/>
        <v>746.94821286288993</v>
      </c>
      <c r="L245" s="54">
        <f t="shared" si="52"/>
        <v>0</v>
      </c>
      <c r="M245" s="54">
        <f t="shared" si="52"/>
        <v>0</v>
      </c>
      <c r="N245" s="54">
        <f t="shared" si="52"/>
        <v>0</v>
      </c>
      <c r="O245" s="54">
        <f t="shared" si="52"/>
        <v>0</v>
      </c>
      <c r="P245" s="54">
        <f t="shared" si="52"/>
        <v>0</v>
      </c>
      <c r="Q245" s="54">
        <f t="shared" si="52"/>
        <v>0</v>
      </c>
      <c r="R245" s="54">
        <f t="shared" si="52"/>
        <v>0</v>
      </c>
      <c r="S245" s="54">
        <f t="shared" si="52"/>
        <v>0</v>
      </c>
      <c r="T245" s="54">
        <f t="shared" si="52"/>
        <v>0</v>
      </c>
      <c r="U245" s="54">
        <f t="shared" si="52"/>
        <v>0</v>
      </c>
      <c r="V245" s="54">
        <f t="shared" si="52"/>
        <v>0</v>
      </c>
      <c r="W245" s="54">
        <f t="shared" si="52"/>
        <v>0</v>
      </c>
    </row>
    <row r="246" spans="1:23" ht="15" customHeight="1" x14ac:dyDescent="0.2">
      <c r="A246" s="4" t="s">
        <v>2155</v>
      </c>
      <c r="D246" s="54">
        <f t="shared" ref="D246:W246" si="53">(D240-$C$229*D238)*(1-$C$232)*$C$228^D$3</f>
        <v>0</v>
      </c>
      <c r="E246" s="54">
        <f t="shared" si="53"/>
        <v>0</v>
      </c>
      <c r="F246" s="54">
        <f t="shared" si="53"/>
        <v>0</v>
      </c>
      <c r="G246" s="54">
        <f t="shared" si="53"/>
        <v>339.16058265910567</v>
      </c>
      <c r="H246" s="54">
        <f t="shared" si="53"/>
        <v>333.18427436955045</v>
      </c>
      <c r="I246" s="54">
        <f t="shared" si="53"/>
        <v>348.92424715888797</v>
      </c>
      <c r="J246" s="54">
        <f t="shared" si="53"/>
        <v>310.59662378394876</v>
      </c>
      <c r="K246" s="54">
        <f t="shared" si="53"/>
        <v>276.47910253155487</v>
      </c>
      <c r="L246" s="54">
        <f t="shared" si="53"/>
        <v>0</v>
      </c>
      <c r="M246" s="54">
        <f t="shared" si="53"/>
        <v>0</v>
      </c>
      <c r="N246" s="54">
        <f t="shared" si="53"/>
        <v>0</v>
      </c>
      <c r="O246" s="54">
        <f t="shared" si="53"/>
        <v>0</v>
      </c>
      <c r="P246" s="54">
        <f t="shared" si="53"/>
        <v>0</v>
      </c>
      <c r="Q246" s="54">
        <f t="shared" si="53"/>
        <v>0</v>
      </c>
      <c r="R246" s="54">
        <f t="shared" si="53"/>
        <v>0</v>
      </c>
      <c r="S246" s="54">
        <f t="shared" si="53"/>
        <v>0</v>
      </c>
      <c r="T246" s="54">
        <f t="shared" si="53"/>
        <v>0</v>
      </c>
      <c r="U246" s="54">
        <f t="shared" si="53"/>
        <v>0</v>
      </c>
      <c r="V246" s="54">
        <f t="shared" si="53"/>
        <v>0</v>
      </c>
      <c r="W246" s="54">
        <f t="shared" si="53"/>
        <v>0</v>
      </c>
    </row>
    <row r="247" spans="1:23" ht="15" customHeight="1" x14ac:dyDescent="0.2">
      <c r="A247" t="s">
        <v>2156</v>
      </c>
      <c r="C247" s="57">
        <f>INDEX(Assumptions!$F$50:$H$54,$C$231,MATCH(Assumptions!$B$4,Assumptions!$D$9:$F$9,0))</f>
        <v>3</v>
      </c>
    </row>
    <row r="248" spans="1:23" ht="15" customHeight="1" x14ac:dyDescent="0.2">
      <c r="A248" s="22" t="s">
        <v>2157</v>
      </c>
      <c r="C248" s="51">
        <f>SUM(D245:W245)</f>
        <v>-1132.4747405448011</v>
      </c>
    </row>
    <row r="249" spans="1:23" ht="15" customHeight="1" x14ac:dyDescent="0.2">
      <c r="A249" s="4" t="s">
        <v>2158</v>
      </c>
      <c r="C249" s="48">
        <f>SUM(D246:W246)</f>
        <v>1608.3448305030479</v>
      </c>
    </row>
    <row r="250" spans="1:23" ht="15" customHeight="1" x14ac:dyDescent="0.2">
      <c r="A250" s="4" t="s">
        <v>63</v>
      </c>
      <c r="C250" s="31" t="str">
        <f>IF(C249&lt;=0,"n/a",IF(Assumptions!$D$45*(1-C248/C249)&gt;1,"&gt;100% (never)",Assumptions!$D$45*(1-C248/C249)))</f>
        <v>&gt;100% (never)</v>
      </c>
    </row>
    <row r="252" spans="1:23" ht="15" customHeight="1" x14ac:dyDescent="0.2">
      <c r="A252" s="5"/>
      <c r="C252" s="48"/>
    </row>
    <row r="253" spans="1:23" ht="15" customHeight="1" x14ac:dyDescent="0.2">
      <c r="A253" s="5"/>
      <c r="C253" s="48"/>
    </row>
    <row r="254" spans="1:23" ht="15" customHeight="1" x14ac:dyDescent="0.2">
      <c r="A254" s="5"/>
      <c r="C254" s="28"/>
    </row>
    <row r="255" spans="1:23" ht="15" customHeight="1" x14ac:dyDescent="0.2">
      <c r="A255" s="5"/>
      <c r="C255" s="28"/>
    </row>
    <row r="256" spans="1:23" ht="15" customHeight="1" x14ac:dyDescent="0.2">
      <c r="A256" s="5"/>
      <c r="C256" s="48"/>
    </row>
    <row r="257" spans="1:3" ht="15" customHeight="1" x14ac:dyDescent="0.2">
      <c r="A257" s="5"/>
      <c r="C257" s="48"/>
    </row>
    <row r="258" spans="1:3" ht="15" customHeight="1" x14ac:dyDescent="0.2">
      <c r="A258" s="5"/>
      <c r="C258" s="48"/>
    </row>
    <row r="259" spans="1:3" ht="15" customHeight="1" x14ac:dyDescent="0.2">
      <c r="A259" s="5"/>
      <c r="C259" s="48"/>
    </row>
    <row r="260" spans="1:3" ht="15" customHeight="1" x14ac:dyDescent="0.2">
      <c r="A260" s="5"/>
      <c r="C260" s="48"/>
    </row>
    <row r="261" spans="1:3" ht="15" customHeight="1" x14ac:dyDescent="0.2">
      <c r="A261" s="5"/>
      <c r="C261" s="48"/>
    </row>
    <row r="262" spans="1:3" ht="15" customHeight="1" x14ac:dyDescent="0.2">
      <c r="A262" s="5"/>
      <c r="C262" s="48"/>
    </row>
    <row r="263" spans="1:3" ht="15" customHeight="1" x14ac:dyDescent="0.2">
      <c r="A263" s="5"/>
      <c r="C263" s="48"/>
    </row>
    <row r="264" spans="1:3" ht="15" customHeight="1" x14ac:dyDescent="0.2">
      <c r="A264" s="5"/>
      <c r="C264" s="48"/>
    </row>
    <row r="265" spans="1:3" ht="15" customHeight="1" x14ac:dyDescent="0.2">
      <c r="A265" s="5"/>
      <c r="C265" s="48"/>
    </row>
    <row r="266" spans="1:3" ht="15" customHeight="1" x14ac:dyDescent="0.2">
      <c r="A266" s="5"/>
      <c r="C266" s="48"/>
    </row>
    <row r="269" spans="1:3" ht="15" customHeight="1" x14ac:dyDescent="0.2">
      <c r="A269" s="7" t="s">
        <v>2164</v>
      </c>
      <c r="B269" s="4" t="s">
        <v>252</v>
      </c>
    </row>
    <row r="270" spans="1:3" ht="15" customHeight="1" x14ac:dyDescent="0.2">
      <c r="A270" s="4" t="s">
        <v>2137</v>
      </c>
      <c r="C270" s="28">
        <f>ROUND($C$291,0)</f>
        <v>6</v>
      </c>
    </row>
    <row r="271" spans="1:3" ht="15" customHeight="1" x14ac:dyDescent="0.2">
      <c r="A271" s="4" t="s">
        <v>2138</v>
      </c>
      <c r="C271" s="28">
        <f>INDEX(Assumptions!$I$50:$K$54,$C$275,MATCH(Assumptions!$B$4,Assumptions!$D$9:$F$9,0))+Assumptions!$C$46</f>
        <v>6.8400000000000002E-2</v>
      </c>
    </row>
    <row r="272" spans="1:3" ht="15" customHeight="1" x14ac:dyDescent="0.2">
      <c r="A272" s="4" t="s">
        <v>2139</v>
      </c>
      <c r="C272" s="28">
        <f>1/(1+$C$271)</f>
        <v>0.93597903406963678</v>
      </c>
    </row>
    <row r="273" spans="1:23" ht="15" customHeight="1" x14ac:dyDescent="0.2">
      <c r="A273" s="4" t="s">
        <v>2140</v>
      </c>
      <c r="C273" s="48">
        <f>IT_load_MW*INDEX(Assumptions!$M$50:$M$54,$C$275,1)*Hours_per_year*INDEX(Assumptions!$C$50:$E$54,$C$275,MATCH(Assumptions!$B$4,Assumptions!$D$9:$F$9,0))*Assumptions!$C$45/Unit_scale</f>
        <v>138.75839999999999</v>
      </c>
    </row>
    <row r="274" spans="1:23" ht="15" customHeight="1" x14ac:dyDescent="0.2">
      <c r="A274" s="4" t="s">
        <v>2141</v>
      </c>
      <c r="C274" s="48">
        <f>IT_load_MW*OM_fixed+Insurance_rate*Calculations!$C$6+INDEX(Assumptions!$O$50:$O$54,$C$275,1)*($C$277+Calculations!$C$6)*(1-Prop_tax_abatement)</f>
        <v>82.23</v>
      </c>
    </row>
    <row r="275" spans="1:23" ht="15" customHeight="1" x14ac:dyDescent="0.2">
      <c r="A275" s="4" t="s">
        <v>2142</v>
      </c>
      <c r="C275" s="48">
        <f>MATCH($B$269,Assumptions!$B$50:$B$54,0)</f>
        <v>4</v>
      </c>
    </row>
    <row r="276" spans="1:23" ht="15" customHeight="1" x14ac:dyDescent="0.2">
      <c r="A276" s="4" t="s">
        <v>2143</v>
      </c>
      <c r="C276" s="28">
        <f>INDEX(Assumptions!$L$50:$L$54,MATCH($B$269,Assumptions!$B$50:$B$54,0),1)</f>
        <v>0.125</v>
      </c>
    </row>
    <row r="277" spans="1:23" ht="15" customHeight="1" x14ac:dyDescent="0.2">
      <c r="A277" s="4" t="s">
        <v>2144</v>
      </c>
      <c r="C277" s="48">
        <f>IT_load_MW*(Facility_capex_MW+INDEX(Assumptions!$N$50:$N$54,$C$275,1))</f>
        <v>1780</v>
      </c>
    </row>
    <row r="278" spans="1:23" ht="15" customHeight="1" x14ac:dyDescent="0.2">
      <c r="A278" s="4" t="s">
        <v>2145</v>
      </c>
      <c r="C278" s="50">
        <f>Calculations!$C$6</f>
        <v>2520</v>
      </c>
    </row>
    <row r="279" spans="1:23" ht="15" customHeight="1" x14ac:dyDescent="0.2">
      <c r="A279" s="4" t="s">
        <v>2146</v>
      </c>
      <c r="C279" s="48">
        <f>IT_load_MW*Assumptions!$G$12*Hours_per_year*Assumptions!$C$45/Unit_scale*Compute_P0</f>
        <v>2636.4096000000004</v>
      </c>
    </row>
    <row r="280" spans="1:23" ht="15" customHeight="1" x14ac:dyDescent="0.2">
      <c r="A280" s="4" t="s">
        <v>2147</v>
      </c>
      <c r="D280" s="4">
        <f t="shared" ref="D280:W280" si="54">IF(D$3&lt;$C$270,0,IF(D$3&lt;=$C$270+GPU_life-1,1,0))</f>
        <v>0</v>
      </c>
      <c r="E280" s="4">
        <f t="shared" si="54"/>
        <v>0</v>
      </c>
      <c r="F280" s="4">
        <f t="shared" si="54"/>
        <v>0</v>
      </c>
      <c r="G280" s="4">
        <f t="shared" si="54"/>
        <v>0</v>
      </c>
      <c r="H280" s="4">
        <f t="shared" si="54"/>
        <v>0</v>
      </c>
      <c r="I280" s="4">
        <f t="shared" si="54"/>
        <v>0</v>
      </c>
      <c r="J280" s="4">
        <f t="shared" si="54"/>
        <v>1</v>
      </c>
      <c r="K280" s="4">
        <f t="shared" si="54"/>
        <v>1</v>
      </c>
      <c r="L280" s="4">
        <f t="shared" si="54"/>
        <v>1</v>
      </c>
      <c r="M280" s="4">
        <f t="shared" si="54"/>
        <v>1</v>
      </c>
      <c r="N280" s="4">
        <f t="shared" si="54"/>
        <v>1</v>
      </c>
      <c r="O280" s="4">
        <f t="shared" si="54"/>
        <v>0</v>
      </c>
      <c r="P280" s="4">
        <f t="shared" si="54"/>
        <v>0</v>
      </c>
      <c r="Q280" s="4">
        <f t="shared" si="54"/>
        <v>0</v>
      </c>
      <c r="R280" s="4">
        <f t="shared" si="54"/>
        <v>0</v>
      </c>
      <c r="S280" s="4">
        <f t="shared" si="54"/>
        <v>0</v>
      </c>
      <c r="T280" s="4">
        <f t="shared" si="54"/>
        <v>0</v>
      </c>
      <c r="U280" s="4">
        <f t="shared" si="54"/>
        <v>0</v>
      </c>
      <c r="V280" s="4">
        <f t="shared" si="54"/>
        <v>0</v>
      </c>
      <c r="W280" s="4">
        <f t="shared" si="54"/>
        <v>0</v>
      </c>
    </row>
    <row r="281" spans="1:23" ht="15" customHeight="1" x14ac:dyDescent="0.2">
      <c r="A281" s="4" t="s">
        <v>35</v>
      </c>
      <c r="D281" s="4">
        <f t="shared" ref="D281:W281" si="55">--(D280&gt;0)</f>
        <v>0</v>
      </c>
      <c r="E281" s="4">
        <f t="shared" si="55"/>
        <v>0</v>
      </c>
      <c r="F281" s="4">
        <f t="shared" si="55"/>
        <v>0</v>
      </c>
      <c r="G281" s="4">
        <f t="shared" si="55"/>
        <v>0</v>
      </c>
      <c r="H281" s="4">
        <f t="shared" si="55"/>
        <v>0</v>
      </c>
      <c r="I281" s="4">
        <f t="shared" si="55"/>
        <v>0</v>
      </c>
      <c r="J281" s="4">
        <f t="shared" si="55"/>
        <v>1</v>
      </c>
      <c r="K281" s="4">
        <f t="shared" si="55"/>
        <v>1</v>
      </c>
      <c r="L281" s="4">
        <f t="shared" si="55"/>
        <v>1</v>
      </c>
      <c r="M281" s="4">
        <f t="shared" si="55"/>
        <v>1</v>
      </c>
      <c r="N281" s="4">
        <f t="shared" si="55"/>
        <v>1</v>
      </c>
      <c r="O281" s="4">
        <f t="shared" si="55"/>
        <v>0</v>
      </c>
      <c r="P281" s="4">
        <f t="shared" si="55"/>
        <v>0</v>
      </c>
      <c r="Q281" s="4">
        <f t="shared" si="55"/>
        <v>0</v>
      </c>
      <c r="R281" s="4">
        <f t="shared" si="55"/>
        <v>0</v>
      </c>
      <c r="S281" s="4">
        <f t="shared" si="55"/>
        <v>0</v>
      </c>
      <c r="T281" s="4">
        <f t="shared" si="55"/>
        <v>0</v>
      </c>
      <c r="U281" s="4">
        <f t="shared" si="55"/>
        <v>0</v>
      </c>
      <c r="V281" s="4">
        <f t="shared" si="55"/>
        <v>0</v>
      </c>
      <c r="W281" s="4">
        <f t="shared" si="55"/>
        <v>0</v>
      </c>
    </row>
    <row r="282" spans="1:23" ht="15" customHeight="1" x14ac:dyDescent="0.2">
      <c r="A282" s="4" t="s">
        <v>2148</v>
      </c>
      <c r="D282" s="28">
        <f t="shared" ref="D282:W282" si="56">D281*(1-(1-Ramp_yr1)*((D$3-$C$270)=0)-(1-Ramp_yr2)*((D$3-$C$270)=1))</f>
        <v>0</v>
      </c>
      <c r="E282" s="28">
        <f t="shared" si="56"/>
        <v>0</v>
      </c>
      <c r="F282" s="28">
        <f t="shared" si="56"/>
        <v>0</v>
      </c>
      <c r="G282" s="28">
        <f t="shared" si="56"/>
        <v>0</v>
      </c>
      <c r="H282" s="28">
        <f t="shared" si="56"/>
        <v>0</v>
      </c>
      <c r="I282" s="28">
        <f t="shared" si="56"/>
        <v>0</v>
      </c>
      <c r="J282" s="28">
        <f t="shared" si="56"/>
        <v>0.65</v>
      </c>
      <c r="K282" s="28">
        <f t="shared" si="56"/>
        <v>0.85</v>
      </c>
      <c r="L282" s="28">
        <f t="shared" si="56"/>
        <v>1</v>
      </c>
      <c r="M282" s="28">
        <f t="shared" si="56"/>
        <v>1</v>
      </c>
      <c r="N282" s="28">
        <f t="shared" si="56"/>
        <v>1</v>
      </c>
      <c r="O282" s="28">
        <f t="shared" si="56"/>
        <v>0</v>
      </c>
      <c r="P282" s="28">
        <f t="shared" si="56"/>
        <v>0</v>
      </c>
      <c r="Q282" s="28">
        <f t="shared" si="56"/>
        <v>0</v>
      </c>
      <c r="R282" s="28">
        <f t="shared" si="56"/>
        <v>0</v>
      </c>
      <c r="S282" s="28">
        <f t="shared" si="56"/>
        <v>0</v>
      </c>
      <c r="T282" s="28">
        <f t="shared" si="56"/>
        <v>0</v>
      </c>
      <c r="U282" s="28">
        <f t="shared" si="56"/>
        <v>0</v>
      </c>
      <c r="V282" s="28">
        <f t="shared" si="56"/>
        <v>0</v>
      </c>
      <c r="W282" s="28">
        <f t="shared" si="56"/>
        <v>0</v>
      </c>
    </row>
    <row r="283" spans="1:23" ht="15" customHeight="1" x14ac:dyDescent="0.2">
      <c r="A283" s="4" t="s">
        <v>2149</v>
      </c>
      <c r="D283" s="48">
        <f t="shared" ref="D283:W283" si="57">MAX(Price_floor,Compute_P0*(1-Price_decline)^$C$291)</f>
        <v>2.5</v>
      </c>
      <c r="E283" s="48">
        <f t="shared" si="57"/>
        <v>2.5</v>
      </c>
      <c r="F283" s="48">
        <f t="shared" si="57"/>
        <v>2.5</v>
      </c>
      <c r="G283" s="48">
        <f t="shared" si="57"/>
        <v>2.5</v>
      </c>
      <c r="H283" s="48">
        <f t="shared" si="57"/>
        <v>2.5</v>
      </c>
      <c r="I283" s="48">
        <f t="shared" si="57"/>
        <v>2.5</v>
      </c>
      <c r="J283" s="48">
        <f t="shared" si="57"/>
        <v>2.5</v>
      </c>
      <c r="K283" s="48">
        <f t="shared" si="57"/>
        <v>2.5</v>
      </c>
      <c r="L283" s="48">
        <f t="shared" si="57"/>
        <v>2.5</v>
      </c>
      <c r="M283" s="48">
        <f t="shared" si="57"/>
        <v>2.5</v>
      </c>
      <c r="N283" s="48">
        <f t="shared" si="57"/>
        <v>2.5</v>
      </c>
      <c r="O283" s="48">
        <f t="shared" si="57"/>
        <v>2.5</v>
      </c>
      <c r="P283" s="48">
        <f t="shared" si="57"/>
        <v>2.5</v>
      </c>
      <c r="Q283" s="48">
        <f t="shared" si="57"/>
        <v>2.5</v>
      </c>
      <c r="R283" s="48">
        <f t="shared" si="57"/>
        <v>2.5</v>
      </c>
      <c r="S283" s="48">
        <f t="shared" si="57"/>
        <v>2.5</v>
      </c>
      <c r="T283" s="48">
        <f t="shared" si="57"/>
        <v>2.5</v>
      </c>
      <c r="U283" s="48">
        <f t="shared" si="57"/>
        <v>2.5</v>
      </c>
      <c r="V283" s="48">
        <f t="shared" si="57"/>
        <v>2.5</v>
      </c>
      <c r="W283" s="48">
        <f t="shared" si="57"/>
        <v>2.5</v>
      </c>
    </row>
    <row r="284" spans="1:23" ht="15" customHeight="1" x14ac:dyDescent="0.2">
      <c r="A284" s="4" t="s">
        <v>2150</v>
      </c>
      <c r="D284" s="54">
        <f t="shared" ref="D284:W284" si="58">$C$279*D283/Compute_P0*D282</f>
        <v>0</v>
      </c>
      <c r="E284" s="54">
        <f t="shared" si="58"/>
        <v>0</v>
      </c>
      <c r="F284" s="54">
        <f t="shared" si="58"/>
        <v>0</v>
      </c>
      <c r="G284" s="54">
        <f t="shared" si="58"/>
        <v>0</v>
      </c>
      <c r="H284" s="54">
        <f t="shared" si="58"/>
        <v>0</v>
      </c>
      <c r="I284" s="54">
        <f t="shared" si="58"/>
        <v>0</v>
      </c>
      <c r="J284" s="54">
        <f t="shared" si="58"/>
        <v>751.60800000000017</v>
      </c>
      <c r="K284" s="54">
        <f t="shared" si="58"/>
        <v>982.87200000000007</v>
      </c>
      <c r="L284" s="54">
        <f t="shared" si="58"/>
        <v>1156.3200000000002</v>
      </c>
      <c r="M284" s="54">
        <f t="shared" si="58"/>
        <v>1156.3200000000002</v>
      </c>
      <c r="N284" s="54">
        <f t="shared" si="58"/>
        <v>1156.3200000000002</v>
      </c>
      <c r="O284" s="54">
        <f t="shared" si="58"/>
        <v>0</v>
      </c>
      <c r="P284" s="54">
        <f t="shared" si="58"/>
        <v>0</v>
      </c>
      <c r="Q284" s="54">
        <f t="shared" si="58"/>
        <v>0</v>
      </c>
      <c r="R284" s="54">
        <f t="shared" si="58"/>
        <v>0</v>
      </c>
      <c r="S284" s="54">
        <f t="shared" si="58"/>
        <v>0</v>
      </c>
      <c r="T284" s="54">
        <f t="shared" si="58"/>
        <v>0</v>
      </c>
      <c r="U284" s="54">
        <f t="shared" si="58"/>
        <v>0</v>
      </c>
      <c r="V284" s="54">
        <f t="shared" si="58"/>
        <v>0</v>
      </c>
      <c r="W284" s="54">
        <f t="shared" si="58"/>
        <v>0</v>
      </c>
    </row>
    <row r="285" spans="1:23" ht="15" customHeight="1" x14ac:dyDescent="0.2">
      <c r="A285" s="4" t="s">
        <v>42</v>
      </c>
      <c r="D285" s="54">
        <f t="shared" ref="D285:W285" si="59">D284-$C$273*D282-$C$274*D281</f>
        <v>0</v>
      </c>
      <c r="E285" s="54">
        <f t="shared" si="59"/>
        <v>0</v>
      </c>
      <c r="F285" s="54">
        <f t="shared" si="59"/>
        <v>0</v>
      </c>
      <c r="G285" s="54">
        <f t="shared" si="59"/>
        <v>0</v>
      </c>
      <c r="H285" s="54">
        <f t="shared" si="59"/>
        <v>0</v>
      </c>
      <c r="I285" s="54">
        <f t="shared" si="59"/>
        <v>0</v>
      </c>
      <c r="J285" s="54">
        <f t="shared" si="59"/>
        <v>579.18504000000019</v>
      </c>
      <c r="K285" s="54">
        <f t="shared" si="59"/>
        <v>782.69736000000012</v>
      </c>
      <c r="L285" s="54">
        <f t="shared" si="59"/>
        <v>935.33160000000021</v>
      </c>
      <c r="M285" s="54">
        <f t="shared" si="59"/>
        <v>935.33160000000021</v>
      </c>
      <c r="N285" s="54">
        <f t="shared" si="59"/>
        <v>935.33160000000021</v>
      </c>
      <c r="O285" s="54">
        <f t="shared" si="59"/>
        <v>0</v>
      </c>
      <c r="P285" s="54">
        <f t="shared" si="59"/>
        <v>0</v>
      </c>
      <c r="Q285" s="54">
        <f t="shared" si="59"/>
        <v>0</v>
      </c>
      <c r="R285" s="54">
        <f t="shared" si="59"/>
        <v>0</v>
      </c>
      <c r="S285" s="54">
        <f t="shared" si="59"/>
        <v>0</v>
      </c>
      <c r="T285" s="54">
        <f t="shared" si="59"/>
        <v>0</v>
      </c>
      <c r="U285" s="54">
        <f t="shared" si="59"/>
        <v>0</v>
      </c>
      <c r="V285" s="54">
        <f t="shared" si="59"/>
        <v>0</v>
      </c>
      <c r="W285" s="54">
        <f t="shared" si="59"/>
        <v>0</v>
      </c>
    </row>
    <row r="286" spans="1:23" ht="15" customHeight="1" x14ac:dyDescent="0.2">
      <c r="A286" s="4" t="s">
        <v>2151</v>
      </c>
      <c r="D286" s="54">
        <f>-($C$277*Calculations!$C$15+$C$278/GPU_life)*D281</f>
        <v>0</v>
      </c>
      <c r="E286" s="54">
        <f>-($C$277*Calculations!$C$15+$C$278/GPU_life)*E281</f>
        <v>0</v>
      </c>
      <c r="F286" s="54">
        <f>-($C$277*Calculations!$C$15+$C$278/GPU_life)*F281</f>
        <v>0</v>
      </c>
      <c r="G286" s="54">
        <f>-($C$277*Calculations!$C$15+$C$278/GPU_life)*G281</f>
        <v>0</v>
      </c>
      <c r="H286" s="54">
        <f>-($C$277*Calculations!$C$15+$C$278/GPU_life)*H281</f>
        <v>0</v>
      </c>
      <c r="I286" s="54">
        <f>-($C$277*Calculations!$C$15+$C$278/GPU_life)*I281</f>
        <v>0</v>
      </c>
      <c r="J286" s="54">
        <f>-($C$277*Calculations!$C$15+$C$278/GPU_life)*J281</f>
        <v>-617.62333333333333</v>
      </c>
      <c r="K286" s="54">
        <f>-($C$277*Calculations!$C$15+$C$278/GPU_life)*K281</f>
        <v>-617.62333333333333</v>
      </c>
      <c r="L286" s="54">
        <f>-($C$277*Calculations!$C$15+$C$278/GPU_life)*L281</f>
        <v>-617.62333333333333</v>
      </c>
      <c r="M286" s="54">
        <f>-($C$277*Calculations!$C$15+$C$278/GPU_life)*M281</f>
        <v>-617.62333333333333</v>
      </c>
      <c r="N286" s="54">
        <f>-($C$277*Calculations!$C$15+$C$278/GPU_life)*N281</f>
        <v>-617.62333333333333</v>
      </c>
      <c r="O286" s="54">
        <f>-($C$277*Calculations!$C$15+$C$278/GPU_life)*O281</f>
        <v>0</v>
      </c>
      <c r="P286" s="54">
        <f>-($C$277*Calculations!$C$15+$C$278/GPU_life)*P281</f>
        <v>0</v>
      </c>
      <c r="Q286" s="54">
        <f>-($C$277*Calculations!$C$15+$C$278/GPU_life)*Q281</f>
        <v>0</v>
      </c>
      <c r="R286" s="54">
        <f>-($C$277*Calculations!$C$15+$C$278/GPU_life)*R281</f>
        <v>0</v>
      </c>
      <c r="S286" s="54">
        <f>-($C$277*Calculations!$C$15+$C$278/GPU_life)*S281</f>
        <v>0</v>
      </c>
      <c r="T286" s="54">
        <f>-($C$277*Calculations!$C$15+$C$278/GPU_life)*T281</f>
        <v>0</v>
      </c>
      <c r="U286" s="54">
        <f>-($C$277*Calculations!$C$15+$C$278/GPU_life)*U281</f>
        <v>0</v>
      </c>
      <c r="V286" s="54">
        <f>-($C$277*Calculations!$C$15+$C$278/GPU_life)*V281</f>
        <v>0</v>
      </c>
      <c r="W286" s="54">
        <f>-($C$277*Calculations!$C$15+$C$278/GPU_life)*W281</f>
        <v>0</v>
      </c>
    </row>
    <row r="287" spans="1:23" ht="15" customHeight="1" x14ac:dyDescent="0.2">
      <c r="A287" s="4" t="s">
        <v>2152</v>
      </c>
      <c r="D287" s="54">
        <f t="shared" ref="D287:W287" si="60">-$C$276*MAX(D285+D286,0)</f>
        <v>0</v>
      </c>
      <c r="E287" s="54">
        <f t="shared" si="60"/>
        <v>0</v>
      </c>
      <c r="F287" s="54">
        <f t="shared" si="60"/>
        <v>0</v>
      </c>
      <c r="G287" s="54">
        <f t="shared" si="60"/>
        <v>0</v>
      </c>
      <c r="H287" s="54">
        <f t="shared" si="60"/>
        <v>0</v>
      </c>
      <c r="I287" s="54">
        <f t="shared" si="60"/>
        <v>0</v>
      </c>
      <c r="J287" s="54">
        <f t="shared" si="60"/>
        <v>0</v>
      </c>
      <c r="K287" s="54">
        <f t="shared" si="60"/>
        <v>-20.634253333333348</v>
      </c>
      <c r="L287" s="54">
        <f t="shared" si="60"/>
        <v>-39.713533333333359</v>
      </c>
      <c r="M287" s="54">
        <f t="shared" si="60"/>
        <v>-39.713533333333359</v>
      </c>
      <c r="N287" s="54">
        <f t="shared" si="60"/>
        <v>-39.713533333333359</v>
      </c>
      <c r="O287" s="54">
        <f t="shared" si="60"/>
        <v>0</v>
      </c>
      <c r="P287" s="54">
        <f t="shared" si="60"/>
        <v>0</v>
      </c>
      <c r="Q287" s="54">
        <f t="shared" si="60"/>
        <v>0</v>
      </c>
      <c r="R287" s="54">
        <f t="shared" si="60"/>
        <v>0</v>
      </c>
      <c r="S287" s="54">
        <f t="shared" si="60"/>
        <v>0</v>
      </c>
      <c r="T287" s="54">
        <f t="shared" si="60"/>
        <v>0</v>
      </c>
      <c r="U287" s="54">
        <f t="shared" si="60"/>
        <v>0</v>
      </c>
      <c r="V287" s="54">
        <f t="shared" si="60"/>
        <v>0</v>
      </c>
      <c r="W287" s="54">
        <f t="shared" si="60"/>
        <v>0</v>
      </c>
    </row>
    <row r="288" spans="1:23" ht="15" customHeight="1" x14ac:dyDescent="0.2">
      <c r="A288" s="4" t="s">
        <v>2153</v>
      </c>
      <c r="D288" s="54">
        <f>D285+D287-$C$277*IF($C$270=0,--(D$3=0),--(D$3&lt;=$C$270-1)/$C$270)-$C$277*Assumptions!$F$38*IF(AND(D$3&gt;=1,D$3&lt;=$C$270),1,0)-$C$278*(D$3=$C$270)+($C$277*Facility_salvage_pct+$C$278*GPU_salvage_pct*(1-$C$276))*(D$3=$C$270+GPU_life-1)</f>
        <v>-296.66666666666663</v>
      </c>
      <c r="E288" s="54">
        <f>E285+E287-$C$277*IF($C$270=0,--(E$3=0),--(E$3&lt;=$C$270-1)/$C$270)-$C$277*Assumptions!$F$38*IF(AND(E$3&gt;=1,E$3&lt;=$C$270),1,0)-$C$278*(E$3=$C$270)+($C$277*Facility_salvage_pct+$C$278*GPU_salvage_pct*(1-$C$276))*(E$3=$C$270+GPU_life-1)</f>
        <v>-323.36666666666662</v>
      </c>
      <c r="F288" s="54">
        <f>F285+F287-$C$277*IF($C$270=0,--(F$3=0),--(F$3&lt;=$C$270-1)/$C$270)-$C$277*Assumptions!$F$38*IF(AND(F$3&gt;=1,F$3&lt;=$C$270),1,0)-$C$278*(F$3=$C$270)+($C$277*Facility_salvage_pct+$C$278*GPU_salvage_pct*(1-$C$276))*(F$3=$C$270+GPU_life-1)</f>
        <v>-323.36666666666662</v>
      </c>
      <c r="G288" s="54">
        <f>G285+G287-$C$277*IF($C$270=0,--(G$3=0),--(G$3&lt;=$C$270-1)/$C$270)-$C$277*Assumptions!$F$38*IF(AND(G$3&gt;=1,G$3&lt;=$C$270),1,0)-$C$278*(G$3=$C$270)+($C$277*Facility_salvage_pct+$C$278*GPU_salvage_pct*(1-$C$276))*(G$3=$C$270+GPU_life-1)</f>
        <v>-323.36666666666662</v>
      </c>
      <c r="H288" s="54">
        <f>H285+H287-$C$277*IF($C$270=0,--(H$3=0),--(H$3&lt;=$C$270-1)/$C$270)-$C$277*Assumptions!$F$38*IF(AND(H$3&gt;=1,H$3&lt;=$C$270),1,0)-$C$278*(H$3=$C$270)+($C$277*Facility_salvage_pct+$C$278*GPU_salvage_pct*(1-$C$276))*(H$3=$C$270+GPU_life-1)</f>
        <v>-323.36666666666662</v>
      </c>
      <c r="I288" s="54">
        <f>I285+I287-$C$277*IF($C$270=0,--(I$3=0),--(I$3&lt;=$C$270-1)/$C$270)-$C$277*Assumptions!$F$38*IF(AND(I$3&gt;=1,I$3&lt;=$C$270),1,0)-$C$278*(I$3=$C$270)+($C$277*Facility_salvage_pct+$C$278*GPU_salvage_pct*(1-$C$276))*(I$3=$C$270+GPU_life-1)</f>
        <v>-323.36666666666662</v>
      </c>
      <c r="J288" s="54">
        <f>J285+J287-$C$277*IF($C$270=0,--(J$3=0),--(J$3&lt;=$C$270-1)/$C$270)-$C$277*Assumptions!$F$38*IF(AND(J$3&gt;=1,J$3&lt;=$C$270),1,0)-$C$278*(J$3=$C$270)+($C$277*Facility_salvage_pct+$C$278*GPU_salvage_pct*(1-$C$276))*(J$3=$C$270+GPU_life-1)</f>
        <v>-1967.51496</v>
      </c>
      <c r="K288" s="54">
        <f>K285+K287-$C$277*IF($C$270=0,--(K$3=0),--(K$3&lt;=$C$270-1)/$C$270)-$C$277*Assumptions!$F$38*IF(AND(K$3&gt;=1,K$3&lt;=$C$270),1,0)-$C$278*(K$3=$C$270)+($C$277*Facility_salvage_pct+$C$278*GPU_salvage_pct*(1-$C$276))*(K$3=$C$270+GPU_life-1)</f>
        <v>762.06310666666673</v>
      </c>
      <c r="L288" s="54">
        <f>L285+L287-$C$277*IF($C$270=0,--(L$3=0),--(L$3&lt;=$C$270-1)/$C$270)-$C$277*Assumptions!$F$38*IF(AND(L$3&gt;=1,L$3&lt;=$C$270),1,0)-$C$278*(L$3=$C$270)+($C$277*Facility_salvage_pct+$C$278*GPU_salvage_pct*(1-$C$276))*(L$3=$C$270+GPU_life-1)</f>
        <v>895.61806666666689</v>
      </c>
      <c r="M288" s="54">
        <f>M285+M287-$C$277*IF($C$270=0,--(M$3=0),--(M$3&lt;=$C$270-1)/$C$270)-$C$277*Assumptions!$F$38*IF(AND(M$3&gt;=1,M$3&lt;=$C$270),1,0)-$C$278*(M$3=$C$270)+($C$277*Facility_salvage_pct+$C$278*GPU_salvage_pct*(1-$C$276))*(M$3=$C$270+GPU_life-1)</f>
        <v>895.61806666666689</v>
      </c>
      <c r="N288" s="54">
        <f>N285+N287-$C$277*IF($C$270=0,--(N$3=0),--(N$3&lt;=$C$270-1)/$C$270)-$C$277*Assumptions!$F$38*IF(AND(N$3&gt;=1,N$3&lt;=$C$270),1,0)-$C$278*(N$3=$C$270)+($C$277*Facility_salvage_pct+$C$278*GPU_salvage_pct*(1-$C$276))*(N$3=$C$270+GPU_life-1)</f>
        <v>1917.1180666666669</v>
      </c>
      <c r="O288" s="54">
        <f>O285+O287-$C$277*IF($C$270=0,--(O$3=0),--(O$3&lt;=$C$270-1)/$C$270)-$C$277*Assumptions!$F$38*IF(AND(O$3&gt;=1,O$3&lt;=$C$270),1,0)-$C$278*(O$3=$C$270)+($C$277*Facility_salvage_pct+$C$278*GPU_salvage_pct*(1-$C$276))*(O$3=$C$270+GPU_life-1)</f>
        <v>0</v>
      </c>
      <c r="P288" s="54">
        <f>P285+P287-$C$277*IF($C$270=0,--(P$3=0),--(P$3&lt;=$C$270-1)/$C$270)-$C$277*Assumptions!$F$38*IF(AND(P$3&gt;=1,P$3&lt;=$C$270),1,0)-$C$278*(P$3=$C$270)+($C$277*Facility_salvage_pct+$C$278*GPU_salvage_pct*(1-$C$276))*(P$3=$C$270+GPU_life-1)</f>
        <v>0</v>
      </c>
      <c r="Q288" s="54">
        <f>Q285+Q287-$C$277*IF($C$270=0,--(Q$3=0),--(Q$3&lt;=$C$270-1)/$C$270)-$C$277*Assumptions!$F$38*IF(AND(Q$3&gt;=1,Q$3&lt;=$C$270),1,0)-$C$278*(Q$3=$C$270)+($C$277*Facility_salvage_pct+$C$278*GPU_salvage_pct*(1-$C$276))*(Q$3=$C$270+GPU_life-1)</f>
        <v>0</v>
      </c>
      <c r="R288" s="54">
        <f>R285+R287-$C$277*IF($C$270=0,--(R$3=0),--(R$3&lt;=$C$270-1)/$C$270)-$C$277*Assumptions!$F$38*IF(AND(R$3&gt;=1,R$3&lt;=$C$270),1,0)-$C$278*(R$3=$C$270)+($C$277*Facility_salvage_pct+$C$278*GPU_salvage_pct*(1-$C$276))*(R$3=$C$270+GPU_life-1)</f>
        <v>0</v>
      </c>
      <c r="S288" s="54">
        <f>S285+S287-$C$277*IF($C$270=0,--(S$3=0),--(S$3&lt;=$C$270-1)/$C$270)-$C$277*Assumptions!$F$38*IF(AND(S$3&gt;=1,S$3&lt;=$C$270),1,0)-$C$278*(S$3=$C$270)+($C$277*Facility_salvage_pct+$C$278*GPU_salvage_pct*(1-$C$276))*(S$3=$C$270+GPU_life-1)</f>
        <v>0</v>
      </c>
      <c r="T288" s="54">
        <f>T285+T287-$C$277*IF($C$270=0,--(T$3=0),--(T$3&lt;=$C$270-1)/$C$270)-$C$277*Assumptions!$F$38*IF(AND(T$3&gt;=1,T$3&lt;=$C$270),1,0)-$C$278*(T$3=$C$270)+($C$277*Facility_salvage_pct+$C$278*GPU_salvage_pct*(1-$C$276))*(T$3=$C$270+GPU_life-1)</f>
        <v>0</v>
      </c>
      <c r="U288" s="54">
        <f>U285+U287-$C$277*IF($C$270=0,--(U$3=0),--(U$3&lt;=$C$270-1)/$C$270)-$C$277*Assumptions!$F$38*IF(AND(U$3&gt;=1,U$3&lt;=$C$270),1,0)-$C$278*(U$3=$C$270)+($C$277*Facility_salvage_pct+$C$278*GPU_salvage_pct*(1-$C$276))*(U$3=$C$270+GPU_life-1)</f>
        <v>0</v>
      </c>
      <c r="V288" s="54">
        <f>V285+V287-$C$277*IF($C$270=0,--(V$3=0),--(V$3&lt;=$C$270-1)/$C$270)-$C$277*Assumptions!$F$38*IF(AND(V$3&gt;=1,V$3&lt;=$C$270),1,0)-$C$278*(V$3=$C$270)+($C$277*Facility_salvage_pct+$C$278*GPU_salvage_pct*(1-$C$276))*(V$3=$C$270+GPU_life-1)</f>
        <v>0</v>
      </c>
      <c r="W288" s="54">
        <f>W285+W287-$C$277*IF($C$270=0,--(W$3=0),--(W$3&lt;=$C$270-1)/$C$270)-$C$277*Assumptions!$F$38*IF(AND(W$3&gt;=1,W$3&lt;=$C$270),1,0)-$C$278*(W$3=$C$270)+($C$277*Facility_salvage_pct+$C$278*GPU_salvage_pct*(1-$C$276))*(W$3=$C$270+GPU_life-1)</f>
        <v>0</v>
      </c>
    </row>
    <row r="289" spans="1:23" ht="15" customHeight="1" x14ac:dyDescent="0.2">
      <c r="A289" s="4" t="s">
        <v>2154</v>
      </c>
      <c r="D289" s="54">
        <f t="shared" ref="D289:W289" si="61">D288*$C$272^D$3</f>
        <v>-296.66666666666663</v>
      </c>
      <c r="E289" s="54">
        <f t="shared" si="61"/>
        <v>-302.66442031698483</v>
      </c>
      <c r="F289" s="54">
        <f t="shared" si="61"/>
        <v>-283.28755177553802</v>
      </c>
      <c r="G289" s="54">
        <f t="shared" si="61"/>
        <v>-265.15120907482031</v>
      </c>
      <c r="H289" s="54">
        <f t="shared" si="61"/>
        <v>-248.17597255224661</v>
      </c>
      <c r="I289" s="54">
        <f t="shared" si="61"/>
        <v>-232.2875070687445</v>
      </c>
      <c r="J289" s="54">
        <f t="shared" si="61"/>
        <v>-1322.8626879069634</v>
      </c>
      <c r="K289" s="54">
        <f t="shared" si="61"/>
        <v>479.57195883622364</v>
      </c>
      <c r="L289" s="54">
        <f t="shared" si="61"/>
        <v>527.53564640375851</v>
      </c>
      <c r="M289" s="54">
        <f t="shared" si="61"/>
        <v>493.76230475829135</v>
      </c>
      <c r="N289" s="54">
        <f t="shared" si="61"/>
        <v>989.25912848073312</v>
      </c>
      <c r="O289" s="54">
        <f t="shared" si="61"/>
        <v>0</v>
      </c>
      <c r="P289" s="54">
        <f t="shared" si="61"/>
        <v>0</v>
      </c>
      <c r="Q289" s="54">
        <f t="shared" si="61"/>
        <v>0</v>
      </c>
      <c r="R289" s="54">
        <f t="shared" si="61"/>
        <v>0</v>
      </c>
      <c r="S289" s="54">
        <f t="shared" si="61"/>
        <v>0</v>
      </c>
      <c r="T289" s="54">
        <f t="shared" si="61"/>
        <v>0</v>
      </c>
      <c r="U289" s="54">
        <f t="shared" si="61"/>
        <v>0</v>
      </c>
      <c r="V289" s="54">
        <f t="shared" si="61"/>
        <v>0</v>
      </c>
      <c r="W289" s="54">
        <f t="shared" si="61"/>
        <v>0</v>
      </c>
    </row>
    <row r="290" spans="1:23" ht="15" customHeight="1" x14ac:dyDescent="0.2">
      <c r="A290" s="4" t="s">
        <v>2155</v>
      </c>
      <c r="D290" s="54">
        <f t="shared" ref="D290:W290" si="62">(D284-$C$273*D282)*(1-$C$276)*$C$272^D$3</f>
        <v>0</v>
      </c>
      <c r="E290" s="54">
        <f t="shared" si="62"/>
        <v>0</v>
      </c>
      <c r="F290" s="54">
        <f t="shared" si="62"/>
        <v>0</v>
      </c>
      <c r="G290" s="54">
        <f t="shared" si="62"/>
        <v>0</v>
      </c>
      <c r="H290" s="54">
        <f t="shared" si="62"/>
        <v>0</v>
      </c>
      <c r="I290" s="54">
        <f t="shared" si="62"/>
        <v>0</v>
      </c>
      <c r="J290" s="54">
        <f t="shared" si="62"/>
        <v>389.11577980171018</v>
      </c>
      <c r="K290" s="54">
        <f t="shared" si="62"/>
        <v>476.26704609546056</v>
      </c>
      <c r="L290" s="54">
        <f t="shared" si="62"/>
        <v>524.44231736897461</v>
      </c>
      <c r="M290" s="54">
        <f t="shared" si="62"/>
        <v>490.86701363625468</v>
      </c>
      <c r="N290" s="54">
        <f t="shared" si="62"/>
        <v>459.44123327990889</v>
      </c>
      <c r="O290" s="54">
        <f t="shared" si="62"/>
        <v>0</v>
      </c>
      <c r="P290" s="54">
        <f t="shared" si="62"/>
        <v>0</v>
      </c>
      <c r="Q290" s="54">
        <f t="shared" si="62"/>
        <v>0</v>
      </c>
      <c r="R290" s="54">
        <f t="shared" si="62"/>
        <v>0</v>
      </c>
      <c r="S290" s="54">
        <f t="shared" si="62"/>
        <v>0</v>
      </c>
      <c r="T290" s="54">
        <f t="shared" si="62"/>
        <v>0</v>
      </c>
      <c r="U290" s="54">
        <f t="shared" si="62"/>
        <v>0</v>
      </c>
      <c r="V290" s="54">
        <f t="shared" si="62"/>
        <v>0</v>
      </c>
      <c r="W290" s="54">
        <f t="shared" si="62"/>
        <v>0</v>
      </c>
    </row>
    <row r="291" spans="1:23" ht="15" customHeight="1" x14ac:dyDescent="0.2">
      <c r="A291" t="s">
        <v>2156</v>
      </c>
      <c r="C291" s="57">
        <f>INDEX(Assumptions!$F$50:$H$54,$C$275,MATCH(Assumptions!$B$4,Assumptions!$D$9:$F$9,0))</f>
        <v>6</v>
      </c>
    </row>
    <row r="292" spans="1:23" ht="15" customHeight="1" x14ac:dyDescent="0.2">
      <c r="A292" s="22" t="s">
        <v>2157</v>
      </c>
      <c r="C292" s="51">
        <f>SUM(D289:W289)</f>
        <v>-460.96697688295785</v>
      </c>
    </row>
    <row r="293" spans="1:23" ht="15" customHeight="1" x14ac:dyDescent="0.2">
      <c r="A293" s="4" t="s">
        <v>2158</v>
      </c>
      <c r="C293" s="48">
        <f>SUM(D290:W290)</f>
        <v>2340.1333901823091</v>
      </c>
    </row>
    <row r="294" spans="1:23" ht="15" customHeight="1" x14ac:dyDescent="0.2">
      <c r="A294" s="4" t="s">
        <v>63</v>
      </c>
      <c r="C294" s="31" t="str">
        <f>IF(C293&lt;=0,"n/a",IF(Assumptions!$C$45*(1-C292/C293)&gt;1,"&gt;100% (never)",Assumptions!$C$45*(1-C292/C293)))</f>
        <v>&gt;100% (never)</v>
      </c>
    </row>
    <row r="296" spans="1:23" ht="15" customHeight="1" x14ac:dyDescent="0.2">
      <c r="A296" s="5"/>
      <c r="C296" s="48"/>
    </row>
    <row r="297" spans="1:23" ht="15" customHeight="1" x14ac:dyDescent="0.2">
      <c r="A297" s="5"/>
      <c r="C297" s="48"/>
    </row>
    <row r="298" spans="1:23" ht="15" customHeight="1" x14ac:dyDescent="0.2">
      <c r="A298" s="5"/>
      <c r="C298" s="28"/>
    </row>
    <row r="299" spans="1:23" ht="15" customHeight="1" x14ac:dyDescent="0.2">
      <c r="A299" s="5"/>
      <c r="C299" s="28"/>
    </row>
    <row r="300" spans="1:23" ht="15" customHeight="1" x14ac:dyDescent="0.2">
      <c r="A300" s="5"/>
      <c r="C300" s="48"/>
    </row>
    <row r="301" spans="1:23" ht="15" customHeight="1" x14ac:dyDescent="0.2">
      <c r="A301" s="5"/>
      <c r="C301" s="48"/>
    </row>
    <row r="302" spans="1:23" ht="15" customHeight="1" x14ac:dyDescent="0.2">
      <c r="A302" s="5"/>
      <c r="C302" s="48"/>
    </row>
    <row r="303" spans="1:23" ht="15" customHeight="1" x14ac:dyDescent="0.2">
      <c r="A303" s="5"/>
      <c r="C303" s="48"/>
    </row>
    <row r="304" spans="1:23" ht="15" customHeight="1" x14ac:dyDescent="0.2">
      <c r="A304" s="5"/>
      <c r="C304" s="48"/>
    </row>
    <row r="305" spans="1:3" ht="15" customHeight="1" x14ac:dyDescent="0.2">
      <c r="A305" s="5"/>
      <c r="C305" s="48"/>
    </row>
    <row r="306" spans="1:3" ht="15" customHeight="1" x14ac:dyDescent="0.2">
      <c r="A306" s="5"/>
      <c r="C306" s="48"/>
    </row>
    <row r="307" spans="1:3" ht="15" customHeight="1" x14ac:dyDescent="0.2">
      <c r="A307" s="5"/>
      <c r="C307" s="48"/>
    </row>
    <row r="308" spans="1:3" ht="15" customHeight="1" x14ac:dyDescent="0.2">
      <c r="A308" s="5"/>
      <c r="C308" s="48"/>
    </row>
    <row r="309" spans="1:3" ht="15" customHeight="1" x14ac:dyDescent="0.2">
      <c r="A309" s="5"/>
      <c r="C309" s="48"/>
    </row>
    <row r="310" spans="1:3" ht="15" customHeight="1" x14ac:dyDescent="0.2">
      <c r="A310" s="5"/>
      <c r="C310" s="48"/>
    </row>
    <row r="313" spans="1:3" ht="15" customHeight="1" x14ac:dyDescent="0.2">
      <c r="A313" s="7" t="s">
        <v>2165</v>
      </c>
      <c r="B313" s="4" t="s">
        <v>252</v>
      </c>
    </row>
    <row r="314" spans="1:3" ht="15" customHeight="1" x14ac:dyDescent="0.2">
      <c r="A314" s="4" t="s">
        <v>2137</v>
      </c>
      <c r="C314" s="28">
        <f>ROUND($C$335,0)</f>
        <v>6</v>
      </c>
    </row>
    <row r="315" spans="1:3" ht="15" customHeight="1" x14ac:dyDescent="0.2">
      <c r="A315" s="4" t="s">
        <v>2138</v>
      </c>
      <c r="C315" s="28">
        <f>INDEX(Assumptions!$I$50:$K$54,$C$319,MATCH(Assumptions!$B$4,Assumptions!$D$9:$F$9,0))+Assumptions!$D$46</f>
        <v>0.1134</v>
      </c>
    </row>
    <row r="316" spans="1:3" ht="15" customHeight="1" x14ac:dyDescent="0.2">
      <c r="A316" s="4" t="s">
        <v>2139</v>
      </c>
      <c r="C316" s="28">
        <f>1/(1+$C$315)</f>
        <v>0.89814981138853967</v>
      </c>
    </row>
    <row r="317" spans="1:3" ht="15" customHeight="1" x14ac:dyDescent="0.2">
      <c r="A317" s="4" t="s">
        <v>2140</v>
      </c>
      <c r="C317" s="48">
        <f>IT_load_MW*INDEX(Assumptions!$M$50:$M$54,$C$319,1)*Hours_per_year*INDEX(Assumptions!$C$50:$E$54,$C$319,MATCH(Assumptions!$B$4,Assumptions!$D$9:$F$9,0))*Assumptions!$D$45/Unit_scale</f>
        <v>110.376</v>
      </c>
    </row>
    <row r="318" spans="1:3" ht="15" customHeight="1" x14ac:dyDescent="0.2">
      <c r="A318" s="4" t="s">
        <v>2141</v>
      </c>
      <c r="C318" s="48">
        <f>IT_load_MW*OM_fixed+Insurance_rate*Calculations!$C$6+INDEX(Assumptions!$O$50:$O$54,$C$319,1)*($C$321+Calculations!$C$6)*(1-Prop_tax_abatement)</f>
        <v>82.23</v>
      </c>
    </row>
    <row r="319" spans="1:3" ht="15" customHeight="1" x14ac:dyDescent="0.2">
      <c r="A319" s="4" t="s">
        <v>2142</v>
      </c>
      <c r="C319" s="48">
        <f>MATCH($B$313,Assumptions!$B$50:$B$54,0)</f>
        <v>4</v>
      </c>
    </row>
    <row r="320" spans="1:3" ht="15" customHeight="1" x14ac:dyDescent="0.2">
      <c r="A320" s="4" t="s">
        <v>2143</v>
      </c>
      <c r="C320" s="28">
        <f>INDEX(Assumptions!$L$50:$L$54,MATCH($B$313,Assumptions!$B$50:$B$54,0),1)</f>
        <v>0.125</v>
      </c>
    </row>
    <row r="321" spans="1:23" ht="15" customHeight="1" x14ac:dyDescent="0.2">
      <c r="A321" s="4" t="s">
        <v>2144</v>
      </c>
      <c r="C321" s="48">
        <f>IT_load_MW*(Facility_capex_MW+INDEX(Assumptions!$N$50:$N$54,$C$319,1))</f>
        <v>1780</v>
      </c>
    </row>
    <row r="322" spans="1:23" ht="15" customHeight="1" x14ac:dyDescent="0.2">
      <c r="A322" s="4" t="s">
        <v>2145</v>
      </c>
      <c r="C322" s="50">
        <f>Calculations!$C$6</f>
        <v>2520</v>
      </c>
    </row>
    <row r="323" spans="1:23" ht="15" customHeight="1" x14ac:dyDescent="0.2">
      <c r="A323" s="4" t="s">
        <v>2146</v>
      </c>
      <c r="C323" s="48">
        <f>IT_load_MW*Assumptions!$G$12*Hours_per_year*Assumptions!$D$45/Unit_scale*Compute_P0</f>
        <v>2097.1440000000002</v>
      </c>
    </row>
    <row r="324" spans="1:23" ht="15" customHeight="1" x14ac:dyDescent="0.2">
      <c r="A324" s="4" t="s">
        <v>2147</v>
      </c>
      <c r="D324" s="4">
        <f t="shared" ref="D324:W324" si="63">IF(D$3&lt;$C$314,0,IF(D$3&lt;=$C$314+GPU_life-1,1,0))</f>
        <v>0</v>
      </c>
      <c r="E324" s="4">
        <f t="shared" si="63"/>
        <v>0</v>
      </c>
      <c r="F324" s="4">
        <f t="shared" si="63"/>
        <v>0</v>
      </c>
      <c r="G324" s="4">
        <f t="shared" si="63"/>
        <v>0</v>
      </c>
      <c r="H324" s="4">
        <f t="shared" si="63"/>
        <v>0</v>
      </c>
      <c r="I324" s="4">
        <f t="shared" si="63"/>
        <v>0</v>
      </c>
      <c r="J324" s="4">
        <f t="shared" si="63"/>
        <v>1</v>
      </c>
      <c r="K324" s="4">
        <f t="shared" si="63"/>
        <v>1</v>
      </c>
      <c r="L324" s="4">
        <f t="shared" si="63"/>
        <v>1</v>
      </c>
      <c r="M324" s="4">
        <f t="shared" si="63"/>
        <v>1</v>
      </c>
      <c r="N324" s="4">
        <f t="shared" si="63"/>
        <v>1</v>
      </c>
      <c r="O324" s="4">
        <f t="shared" si="63"/>
        <v>0</v>
      </c>
      <c r="P324" s="4">
        <f t="shared" si="63"/>
        <v>0</v>
      </c>
      <c r="Q324" s="4">
        <f t="shared" si="63"/>
        <v>0</v>
      </c>
      <c r="R324" s="4">
        <f t="shared" si="63"/>
        <v>0</v>
      </c>
      <c r="S324" s="4">
        <f t="shared" si="63"/>
        <v>0</v>
      </c>
      <c r="T324" s="4">
        <f t="shared" si="63"/>
        <v>0</v>
      </c>
      <c r="U324" s="4">
        <f t="shared" si="63"/>
        <v>0</v>
      </c>
      <c r="V324" s="4">
        <f t="shared" si="63"/>
        <v>0</v>
      </c>
      <c r="W324" s="4">
        <f t="shared" si="63"/>
        <v>0</v>
      </c>
    </row>
    <row r="325" spans="1:23" ht="15" customHeight="1" x14ac:dyDescent="0.2">
      <c r="A325" s="4" t="s">
        <v>35</v>
      </c>
      <c r="D325" s="4">
        <f t="shared" ref="D325:W325" si="64">--(D324&gt;0)</f>
        <v>0</v>
      </c>
      <c r="E325" s="4">
        <f t="shared" si="64"/>
        <v>0</v>
      </c>
      <c r="F325" s="4">
        <f t="shared" si="64"/>
        <v>0</v>
      </c>
      <c r="G325" s="4">
        <f t="shared" si="64"/>
        <v>0</v>
      </c>
      <c r="H325" s="4">
        <f t="shared" si="64"/>
        <v>0</v>
      </c>
      <c r="I325" s="4">
        <f t="shared" si="64"/>
        <v>0</v>
      </c>
      <c r="J325" s="4">
        <f t="shared" si="64"/>
        <v>1</v>
      </c>
      <c r="K325" s="4">
        <f t="shared" si="64"/>
        <v>1</v>
      </c>
      <c r="L325" s="4">
        <f t="shared" si="64"/>
        <v>1</v>
      </c>
      <c r="M325" s="4">
        <f t="shared" si="64"/>
        <v>1</v>
      </c>
      <c r="N325" s="4">
        <f t="shared" si="64"/>
        <v>1</v>
      </c>
      <c r="O325" s="4">
        <f t="shared" si="64"/>
        <v>0</v>
      </c>
      <c r="P325" s="4">
        <f t="shared" si="64"/>
        <v>0</v>
      </c>
      <c r="Q325" s="4">
        <f t="shared" si="64"/>
        <v>0</v>
      </c>
      <c r="R325" s="4">
        <f t="shared" si="64"/>
        <v>0</v>
      </c>
      <c r="S325" s="4">
        <f t="shared" si="64"/>
        <v>0</v>
      </c>
      <c r="T325" s="4">
        <f t="shared" si="64"/>
        <v>0</v>
      </c>
      <c r="U325" s="4">
        <f t="shared" si="64"/>
        <v>0</v>
      </c>
      <c r="V325" s="4">
        <f t="shared" si="64"/>
        <v>0</v>
      </c>
      <c r="W325" s="4">
        <f t="shared" si="64"/>
        <v>0</v>
      </c>
    </row>
    <row r="326" spans="1:23" ht="15" customHeight="1" x14ac:dyDescent="0.2">
      <c r="A326" s="4" t="s">
        <v>2148</v>
      </c>
      <c r="D326" s="28">
        <f t="shared" ref="D326:W326" si="65">D325*(1-(1-Ramp_yr1)*((D$3-$C$314)=0)-(1-Ramp_yr2)*((D$3-$C$314)=1))</f>
        <v>0</v>
      </c>
      <c r="E326" s="28">
        <f t="shared" si="65"/>
        <v>0</v>
      </c>
      <c r="F326" s="28">
        <f t="shared" si="65"/>
        <v>0</v>
      </c>
      <c r="G326" s="28">
        <f t="shared" si="65"/>
        <v>0</v>
      </c>
      <c r="H326" s="28">
        <f t="shared" si="65"/>
        <v>0</v>
      </c>
      <c r="I326" s="28">
        <f t="shared" si="65"/>
        <v>0</v>
      </c>
      <c r="J326" s="28">
        <f t="shared" si="65"/>
        <v>0.65</v>
      </c>
      <c r="K326" s="28">
        <f t="shared" si="65"/>
        <v>0.85</v>
      </c>
      <c r="L326" s="28">
        <f t="shared" si="65"/>
        <v>1</v>
      </c>
      <c r="M326" s="28">
        <f t="shared" si="65"/>
        <v>1</v>
      </c>
      <c r="N326" s="28">
        <f t="shared" si="65"/>
        <v>1</v>
      </c>
      <c r="O326" s="28">
        <f t="shared" si="65"/>
        <v>0</v>
      </c>
      <c r="P326" s="28">
        <f t="shared" si="65"/>
        <v>0</v>
      </c>
      <c r="Q326" s="28">
        <f t="shared" si="65"/>
        <v>0</v>
      </c>
      <c r="R326" s="28">
        <f t="shared" si="65"/>
        <v>0</v>
      </c>
      <c r="S326" s="28">
        <f t="shared" si="65"/>
        <v>0</v>
      </c>
      <c r="T326" s="28">
        <f t="shared" si="65"/>
        <v>0</v>
      </c>
      <c r="U326" s="28">
        <f t="shared" si="65"/>
        <v>0</v>
      </c>
      <c r="V326" s="28">
        <f t="shared" si="65"/>
        <v>0</v>
      </c>
      <c r="W326" s="28">
        <f t="shared" si="65"/>
        <v>0</v>
      </c>
    </row>
    <row r="327" spans="1:23" ht="15" customHeight="1" x14ac:dyDescent="0.2">
      <c r="A327" s="4" t="s">
        <v>2149</v>
      </c>
      <c r="D327" s="48">
        <f t="shared" ref="D327:W327" si="66">MAX(Price_floor,Compute_P0*(1-Price_decline)^MAX($C$335+D$3-$C$314))</f>
        <v>5.7</v>
      </c>
      <c r="E327" s="48">
        <f t="shared" si="66"/>
        <v>4.5600000000000005</v>
      </c>
      <c r="F327" s="48">
        <f t="shared" si="66"/>
        <v>3.648000000000001</v>
      </c>
      <c r="G327" s="48">
        <f t="shared" si="66"/>
        <v>2.918400000000001</v>
      </c>
      <c r="H327" s="48">
        <f t="shared" si="66"/>
        <v>2.5</v>
      </c>
      <c r="I327" s="48">
        <f t="shared" si="66"/>
        <v>2.5</v>
      </c>
      <c r="J327" s="48">
        <f t="shared" si="66"/>
        <v>2.5</v>
      </c>
      <c r="K327" s="48">
        <f t="shared" si="66"/>
        <v>2.5</v>
      </c>
      <c r="L327" s="48">
        <f t="shared" si="66"/>
        <v>2.5</v>
      </c>
      <c r="M327" s="48">
        <f t="shared" si="66"/>
        <v>2.5</v>
      </c>
      <c r="N327" s="48">
        <f t="shared" si="66"/>
        <v>2.5</v>
      </c>
      <c r="O327" s="48">
        <f t="shared" si="66"/>
        <v>2.5</v>
      </c>
      <c r="P327" s="48">
        <f t="shared" si="66"/>
        <v>2.5</v>
      </c>
      <c r="Q327" s="48">
        <f t="shared" si="66"/>
        <v>2.5</v>
      </c>
      <c r="R327" s="48">
        <f t="shared" si="66"/>
        <v>2.5</v>
      </c>
      <c r="S327" s="48">
        <f t="shared" si="66"/>
        <v>2.5</v>
      </c>
      <c r="T327" s="48">
        <f t="shared" si="66"/>
        <v>2.5</v>
      </c>
      <c r="U327" s="48">
        <f t="shared" si="66"/>
        <v>2.5</v>
      </c>
      <c r="V327" s="48">
        <f t="shared" si="66"/>
        <v>2.5</v>
      </c>
      <c r="W327" s="48">
        <f t="shared" si="66"/>
        <v>2.5</v>
      </c>
    </row>
    <row r="328" spans="1:23" ht="15" customHeight="1" x14ac:dyDescent="0.2">
      <c r="A328" s="4" t="s">
        <v>2150</v>
      </c>
      <c r="D328" s="54">
        <f t="shared" ref="D328:W328" si="67">$C$323*D327/Compute_P0*D326</f>
        <v>0</v>
      </c>
      <c r="E328" s="54">
        <f t="shared" si="67"/>
        <v>0</v>
      </c>
      <c r="F328" s="54">
        <f t="shared" si="67"/>
        <v>0</v>
      </c>
      <c r="G328" s="54">
        <f t="shared" si="67"/>
        <v>0</v>
      </c>
      <c r="H328" s="54">
        <f t="shared" si="67"/>
        <v>0</v>
      </c>
      <c r="I328" s="54">
        <f t="shared" si="67"/>
        <v>0</v>
      </c>
      <c r="J328" s="54">
        <f t="shared" si="67"/>
        <v>597.87000000000012</v>
      </c>
      <c r="K328" s="54">
        <f t="shared" si="67"/>
        <v>781.83</v>
      </c>
      <c r="L328" s="54">
        <f t="shared" si="67"/>
        <v>919.80000000000007</v>
      </c>
      <c r="M328" s="54">
        <f t="shared" si="67"/>
        <v>919.80000000000007</v>
      </c>
      <c r="N328" s="54">
        <f t="shared" si="67"/>
        <v>919.80000000000007</v>
      </c>
      <c r="O328" s="54">
        <f t="shared" si="67"/>
        <v>0</v>
      </c>
      <c r="P328" s="54">
        <f t="shared" si="67"/>
        <v>0</v>
      </c>
      <c r="Q328" s="54">
        <f t="shared" si="67"/>
        <v>0</v>
      </c>
      <c r="R328" s="54">
        <f t="shared" si="67"/>
        <v>0</v>
      </c>
      <c r="S328" s="54">
        <f t="shared" si="67"/>
        <v>0</v>
      </c>
      <c r="T328" s="54">
        <f t="shared" si="67"/>
        <v>0</v>
      </c>
      <c r="U328" s="54">
        <f t="shared" si="67"/>
        <v>0</v>
      </c>
      <c r="V328" s="54">
        <f t="shared" si="67"/>
        <v>0</v>
      </c>
      <c r="W328" s="54">
        <f t="shared" si="67"/>
        <v>0</v>
      </c>
    </row>
    <row r="329" spans="1:23" ht="15" customHeight="1" x14ac:dyDescent="0.2">
      <c r="A329" s="4" t="s">
        <v>42</v>
      </c>
      <c r="D329" s="54">
        <f t="shared" ref="D329:W329" si="68">D328-$C$317*D326-$C$318*D325</f>
        <v>0</v>
      </c>
      <c r="E329" s="54">
        <f t="shared" si="68"/>
        <v>0</v>
      </c>
      <c r="F329" s="54">
        <f t="shared" si="68"/>
        <v>0</v>
      </c>
      <c r="G329" s="54">
        <f t="shared" si="68"/>
        <v>0</v>
      </c>
      <c r="H329" s="54">
        <f t="shared" si="68"/>
        <v>0</v>
      </c>
      <c r="I329" s="54">
        <f t="shared" si="68"/>
        <v>0</v>
      </c>
      <c r="J329" s="54">
        <f t="shared" si="68"/>
        <v>443.89560000000006</v>
      </c>
      <c r="K329" s="54">
        <f t="shared" si="68"/>
        <v>605.78039999999999</v>
      </c>
      <c r="L329" s="54">
        <f t="shared" si="68"/>
        <v>727.19400000000007</v>
      </c>
      <c r="M329" s="54">
        <f t="shared" si="68"/>
        <v>727.19400000000007</v>
      </c>
      <c r="N329" s="54">
        <f t="shared" si="68"/>
        <v>727.19400000000007</v>
      </c>
      <c r="O329" s="54">
        <f t="shared" si="68"/>
        <v>0</v>
      </c>
      <c r="P329" s="54">
        <f t="shared" si="68"/>
        <v>0</v>
      </c>
      <c r="Q329" s="54">
        <f t="shared" si="68"/>
        <v>0</v>
      </c>
      <c r="R329" s="54">
        <f t="shared" si="68"/>
        <v>0</v>
      </c>
      <c r="S329" s="54">
        <f t="shared" si="68"/>
        <v>0</v>
      </c>
      <c r="T329" s="54">
        <f t="shared" si="68"/>
        <v>0</v>
      </c>
      <c r="U329" s="54">
        <f t="shared" si="68"/>
        <v>0</v>
      </c>
      <c r="V329" s="54">
        <f t="shared" si="68"/>
        <v>0</v>
      </c>
      <c r="W329" s="54">
        <f t="shared" si="68"/>
        <v>0</v>
      </c>
    </row>
    <row r="330" spans="1:23" ht="15" customHeight="1" x14ac:dyDescent="0.2">
      <c r="A330" s="4" t="s">
        <v>2151</v>
      </c>
      <c r="D330" s="54">
        <f>-($C$321*Calculations!$C$15+$C$322/GPU_life)*D325</f>
        <v>0</v>
      </c>
      <c r="E330" s="54">
        <f>-($C$321*Calculations!$C$15+$C$322/GPU_life)*E325</f>
        <v>0</v>
      </c>
      <c r="F330" s="54">
        <f>-($C$321*Calculations!$C$15+$C$322/GPU_life)*F325</f>
        <v>0</v>
      </c>
      <c r="G330" s="54">
        <f>-($C$321*Calculations!$C$15+$C$322/GPU_life)*G325</f>
        <v>0</v>
      </c>
      <c r="H330" s="54">
        <f>-($C$321*Calculations!$C$15+$C$322/GPU_life)*H325</f>
        <v>0</v>
      </c>
      <c r="I330" s="54">
        <f>-($C$321*Calculations!$C$15+$C$322/GPU_life)*I325</f>
        <v>0</v>
      </c>
      <c r="J330" s="54">
        <f>-($C$321*Calculations!$C$15+$C$322/GPU_life)*J325</f>
        <v>-617.62333333333333</v>
      </c>
      <c r="K330" s="54">
        <f>-($C$321*Calculations!$C$15+$C$322/GPU_life)*K325</f>
        <v>-617.62333333333333</v>
      </c>
      <c r="L330" s="54">
        <f>-($C$321*Calculations!$C$15+$C$322/GPU_life)*L325</f>
        <v>-617.62333333333333</v>
      </c>
      <c r="M330" s="54">
        <f>-($C$321*Calculations!$C$15+$C$322/GPU_life)*M325</f>
        <v>-617.62333333333333</v>
      </c>
      <c r="N330" s="54">
        <f>-($C$321*Calculations!$C$15+$C$322/GPU_life)*N325</f>
        <v>-617.62333333333333</v>
      </c>
      <c r="O330" s="54">
        <f>-($C$321*Calculations!$C$15+$C$322/GPU_life)*O325</f>
        <v>0</v>
      </c>
      <c r="P330" s="54">
        <f>-($C$321*Calculations!$C$15+$C$322/GPU_life)*P325</f>
        <v>0</v>
      </c>
      <c r="Q330" s="54">
        <f>-($C$321*Calculations!$C$15+$C$322/GPU_life)*Q325</f>
        <v>0</v>
      </c>
      <c r="R330" s="54">
        <f>-($C$321*Calculations!$C$15+$C$322/GPU_life)*R325</f>
        <v>0</v>
      </c>
      <c r="S330" s="54">
        <f>-($C$321*Calculations!$C$15+$C$322/GPU_life)*S325</f>
        <v>0</v>
      </c>
      <c r="T330" s="54">
        <f>-($C$321*Calculations!$C$15+$C$322/GPU_life)*T325</f>
        <v>0</v>
      </c>
      <c r="U330" s="54">
        <f>-($C$321*Calculations!$C$15+$C$322/GPU_life)*U325</f>
        <v>0</v>
      </c>
      <c r="V330" s="54">
        <f>-($C$321*Calculations!$C$15+$C$322/GPU_life)*V325</f>
        <v>0</v>
      </c>
      <c r="W330" s="54">
        <f>-($C$321*Calculations!$C$15+$C$322/GPU_life)*W325</f>
        <v>0</v>
      </c>
    </row>
    <row r="331" spans="1:23" ht="15" customHeight="1" x14ac:dyDescent="0.2">
      <c r="A331" s="4" t="s">
        <v>2152</v>
      </c>
      <c r="D331" s="54">
        <f t="shared" ref="D331:W331" si="69">-$C$320*MAX(D329+D330,0)</f>
        <v>0</v>
      </c>
      <c r="E331" s="54">
        <f t="shared" si="69"/>
        <v>0</v>
      </c>
      <c r="F331" s="54">
        <f t="shared" si="69"/>
        <v>0</v>
      </c>
      <c r="G331" s="54">
        <f t="shared" si="69"/>
        <v>0</v>
      </c>
      <c r="H331" s="54">
        <f t="shared" si="69"/>
        <v>0</v>
      </c>
      <c r="I331" s="54">
        <f t="shared" si="69"/>
        <v>0</v>
      </c>
      <c r="J331" s="54">
        <f t="shared" si="69"/>
        <v>0</v>
      </c>
      <c r="K331" s="54">
        <f t="shared" si="69"/>
        <v>0</v>
      </c>
      <c r="L331" s="54">
        <f t="shared" si="69"/>
        <v>-13.696333333333342</v>
      </c>
      <c r="M331" s="54">
        <f t="shared" si="69"/>
        <v>-13.696333333333342</v>
      </c>
      <c r="N331" s="54">
        <f t="shared" si="69"/>
        <v>-13.696333333333342</v>
      </c>
      <c r="O331" s="54">
        <f t="shared" si="69"/>
        <v>0</v>
      </c>
      <c r="P331" s="54">
        <f t="shared" si="69"/>
        <v>0</v>
      </c>
      <c r="Q331" s="54">
        <f t="shared" si="69"/>
        <v>0</v>
      </c>
      <c r="R331" s="54">
        <f t="shared" si="69"/>
        <v>0</v>
      </c>
      <c r="S331" s="54">
        <f t="shared" si="69"/>
        <v>0</v>
      </c>
      <c r="T331" s="54">
        <f t="shared" si="69"/>
        <v>0</v>
      </c>
      <c r="U331" s="54">
        <f t="shared" si="69"/>
        <v>0</v>
      </c>
      <c r="V331" s="54">
        <f t="shared" si="69"/>
        <v>0</v>
      </c>
      <c r="W331" s="54">
        <f t="shared" si="69"/>
        <v>0</v>
      </c>
    </row>
    <row r="332" spans="1:23" ht="15" customHeight="1" x14ac:dyDescent="0.2">
      <c r="A332" s="4" t="s">
        <v>2153</v>
      </c>
      <c r="D332" s="54">
        <f>D329+D331-$C$321*IF($C$314=0,--(D$3=0),--(D$3&lt;=$C$314-1)/$C$314)-$C$321*Assumptions!$F$38*IF(AND(D$3&gt;=1,D$3&lt;=$C$314),1,0)-$C$322*(D$3=$C$314)+($C$321*Facility_salvage_pct+$C$322*GPU_salvage_pct*(1-$C$320))*(D$3=$C$314+GPU_life-1)</f>
        <v>-296.66666666666663</v>
      </c>
      <c r="E332" s="54">
        <f>E329+E331-$C$321*IF($C$314=0,--(E$3=0),--(E$3&lt;=$C$314-1)/$C$314)-$C$321*Assumptions!$F$38*IF(AND(E$3&gt;=1,E$3&lt;=$C$314),1,0)-$C$322*(E$3=$C$314)+($C$321*Facility_salvage_pct+$C$322*GPU_salvage_pct*(1-$C$320))*(E$3=$C$314+GPU_life-1)</f>
        <v>-323.36666666666662</v>
      </c>
      <c r="F332" s="54">
        <f>F329+F331-$C$321*IF($C$314=0,--(F$3=0),--(F$3&lt;=$C$314-1)/$C$314)-$C$321*Assumptions!$F$38*IF(AND(F$3&gt;=1,F$3&lt;=$C$314),1,0)-$C$322*(F$3=$C$314)+($C$321*Facility_salvage_pct+$C$322*GPU_salvage_pct*(1-$C$320))*(F$3=$C$314+GPU_life-1)</f>
        <v>-323.36666666666662</v>
      </c>
      <c r="G332" s="54">
        <f>G329+G331-$C$321*IF($C$314=0,--(G$3=0),--(G$3&lt;=$C$314-1)/$C$314)-$C$321*Assumptions!$F$38*IF(AND(G$3&gt;=1,G$3&lt;=$C$314),1,0)-$C$322*(G$3=$C$314)+($C$321*Facility_salvage_pct+$C$322*GPU_salvage_pct*(1-$C$320))*(G$3=$C$314+GPU_life-1)</f>
        <v>-323.36666666666662</v>
      </c>
      <c r="H332" s="54">
        <f>H329+H331-$C$321*IF($C$314=0,--(H$3=0),--(H$3&lt;=$C$314-1)/$C$314)-$C$321*Assumptions!$F$38*IF(AND(H$3&gt;=1,H$3&lt;=$C$314),1,0)-$C$322*(H$3=$C$314)+($C$321*Facility_salvage_pct+$C$322*GPU_salvage_pct*(1-$C$320))*(H$3=$C$314+GPU_life-1)</f>
        <v>-323.36666666666662</v>
      </c>
      <c r="I332" s="54">
        <f>I329+I331-$C$321*IF($C$314=0,--(I$3=0),--(I$3&lt;=$C$314-1)/$C$314)-$C$321*Assumptions!$F$38*IF(AND(I$3&gt;=1,I$3&lt;=$C$314),1,0)-$C$322*(I$3=$C$314)+($C$321*Facility_salvage_pct+$C$322*GPU_salvage_pct*(1-$C$320))*(I$3=$C$314+GPU_life-1)</f>
        <v>-323.36666666666662</v>
      </c>
      <c r="J332" s="54">
        <f>J329+J331-$C$321*IF($C$314=0,--(J$3=0),--(J$3&lt;=$C$314-1)/$C$314)-$C$321*Assumptions!$F$38*IF(AND(J$3&gt;=1,J$3&lt;=$C$314),1,0)-$C$322*(J$3=$C$314)+($C$321*Facility_salvage_pct+$C$322*GPU_salvage_pct*(1-$C$320))*(J$3=$C$314+GPU_life-1)</f>
        <v>-2102.8044</v>
      </c>
      <c r="K332" s="54">
        <f>K329+K331-$C$321*IF($C$314=0,--(K$3=0),--(K$3&lt;=$C$314-1)/$C$314)-$C$321*Assumptions!$F$38*IF(AND(K$3&gt;=1,K$3&lt;=$C$314),1,0)-$C$322*(K$3=$C$314)+($C$321*Facility_salvage_pct+$C$322*GPU_salvage_pct*(1-$C$320))*(K$3=$C$314+GPU_life-1)</f>
        <v>605.78039999999999</v>
      </c>
      <c r="L332" s="54">
        <f>L329+L331-$C$321*IF($C$314=0,--(L$3=0),--(L$3&lt;=$C$314-1)/$C$314)-$C$321*Assumptions!$F$38*IF(AND(L$3&gt;=1,L$3&lt;=$C$314),1,0)-$C$322*(L$3=$C$314)+($C$321*Facility_salvage_pct+$C$322*GPU_salvage_pct*(1-$C$320))*(L$3=$C$314+GPU_life-1)</f>
        <v>713.49766666666676</v>
      </c>
      <c r="M332" s="54">
        <f>M329+M331-$C$321*IF($C$314=0,--(M$3=0),--(M$3&lt;=$C$314-1)/$C$314)-$C$321*Assumptions!$F$38*IF(AND(M$3&gt;=1,M$3&lt;=$C$314),1,0)-$C$322*(M$3=$C$314)+($C$321*Facility_salvage_pct+$C$322*GPU_salvage_pct*(1-$C$320))*(M$3=$C$314+GPU_life-1)</f>
        <v>713.49766666666676</v>
      </c>
      <c r="N332" s="54">
        <f>N329+N331-$C$321*IF($C$314=0,--(N$3=0),--(N$3&lt;=$C$314-1)/$C$314)-$C$321*Assumptions!$F$38*IF(AND(N$3&gt;=1,N$3&lt;=$C$314),1,0)-$C$322*(N$3=$C$314)+($C$321*Facility_salvage_pct+$C$322*GPU_salvage_pct*(1-$C$320))*(N$3=$C$314+GPU_life-1)</f>
        <v>1734.9976666666666</v>
      </c>
      <c r="O332" s="54">
        <f>O329+O331-$C$321*IF($C$314=0,--(O$3=0),--(O$3&lt;=$C$314-1)/$C$314)-$C$321*Assumptions!$F$38*IF(AND(O$3&gt;=1,O$3&lt;=$C$314),1,0)-$C$322*(O$3=$C$314)+($C$321*Facility_salvage_pct+$C$322*GPU_salvage_pct*(1-$C$320))*(O$3=$C$314+GPU_life-1)</f>
        <v>0</v>
      </c>
      <c r="P332" s="54">
        <f>P329+P331-$C$321*IF($C$314=0,--(P$3=0),--(P$3&lt;=$C$314-1)/$C$314)-$C$321*Assumptions!$F$38*IF(AND(P$3&gt;=1,P$3&lt;=$C$314),1,0)-$C$322*(P$3=$C$314)+($C$321*Facility_salvage_pct+$C$322*GPU_salvage_pct*(1-$C$320))*(P$3=$C$314+GPU_life-1)</f>
        <v>0</v>
      </c>
      <c r="Q332" s="54">
        <f>Q329+Q331-$C$321*IF($C$314=0,--(Q$3=0),--(Q$3&lt;=$C$314-1)/$C$314)-$C$321*Assumptions!$F$38*IF(AND(Q$3&gt;=1,Q$3&lt;=$C$314),1,0)-$C$322*(Q$3=$C$314)+($C$321*Facility_salvage_pct+$C$322*GPU_salvage_pct*(1-$C$320))*(Q$3=$C$314+GPU_life-1)</f>
        <v>0</v>
      </c>
      <c r="R332" s="54">
        <f>R329+R331-$C$321*IF($C$314=0,--(R$3=0),--(R$3&lt;=$C$314-1)/$C$314)-$C$321*Assumptions!$F$38*IF(AND(R$3&gt;=1,R$3&lt;=$C$314),1,0)-$C$322*(R$3=$C$314)+($C$321*Facility_salvage_pct+$C$322*GPU_salvage_pct*(1-$C$320))*(R$3=$C$314+GPU_life-1)</f>
        <v>0</v>
      </c>
      <c r="S332" s="54">
        <f>S329+S331-$C$321*IF($C$314=0,--(S$3=0),--(S$3&lt;=$C$314-1)/$C$314)-$C$321*Assumptions!$F$38*IF(AND(S$3&gt;=1,S$3&lt;=$C$314),1,0)-$C$322*(S$3=$C$314)+($C$321*Facility_salvage_pct+$C$322*GPU_salvage_pct*(1-$C$320))*(S$3=$C$314+GPU_life-1)</f>
        <v>0</v>
      </c>
      <c r="T332" s="54">
        <f>T329+T331-$C$321*IF($C$314=0,--(T$3=0),--(T$3&lt;=$C$314-1)/$C$314)-$C$321*Assumptions!$F$38*IF(AND(T$3&gt;=1,T$3&lt;=$C$314),1,0)-$C$322*(T$3=$C$314)+($C$321*Facility_salvage_pct+$C$322*GPU_salvage_pct*(1-$C$320))*(T$3=$C$314+GPU_life-1)</f>
        <v>0</v>
      </c>
      <c r="U332" s="54">
        <f>U329+U331-$C$321*IF($C$314=0,--(U$3=0),--(U$3&lt;=$C$314-1)/$C$314)-$C$321*Assumptions!$F$38*IF(AND(U$3&gt;=1,U$3&lt;=$C$314),1,0)-$C$322*(U$3=$C$314)+($C$321*Facility_salvage_pct+$C$322*GPU_salvage_pct*(1-$C$320))*(U$3=$C$314+GPU_life-1)</f>
        <v>0</v>
      </c>
      <c r="V332" s="54">
        <f>V329+V331-$C$321*IF($C$314=0,--(V$3=0),--(V$3&lt;=$C$314-1)/$C$314)-$C$321*Assumptions!$F$38*IF(AND(V$3&gt;=1,V$3&lt;=$C$314),1,0)-$C$322*(V$3=$C$314)+($C$321*Facility_salvage_pct+$C$322*GPU_salvage_pct*(1-$C$320))*(V$3=$C$314+GPU_life-1)</f>
        <v>0</v>
      </c>
      <c r="W332" s="54">
        <f>W329+W331-$C$321*IF($C$314=0,--(W$3=0),--(W$3&lt;=$C$314-1)/$C$314)-$C$321*Assumptions!$F$38*IF(AND(W$3&gt;=1,W$3&lt;=$C$314),1,0)-$C$322*(W$3=$C$314)+($C$321*Facility_salvage_pct+$C$322*GPU_salvage_pct*(1-$C$320))*(W$3=$C$314+GPU_life-1)</f>
        <v>0</v>
      </c>
    </row>
    <row r="333" spans="1:23" ht="15" customHeight="1" x14ac:dyDescent="0.2">
      <c r="A333" s="4" t="s">
        <v>2154</v>
      </c>
      <c r="D333" s="54">
        <f t="shared" ref="D333:W333" si="70">D332*$C$316^D$3</f>
        <v>-296.66666666666663</v>
      </c>
      <c r="E333" s="54">
        <f t="shared" si="70"/>
        <v>-290.43171067600741</v>
      </c>
      <c r="F333" s="54">
        <f t="shared" si="70"/>
        <v>-260.85118616490701</v>
      </c>
      <c r="G333" s="54">
        <f t="shared" si="70"/>
        <v>-234.28344365448805</v>
      </c>
      <c r="H333" s="54">
        <f t="shared" si="70"/>
        <v>-210.42163072973602</v>
      </c>
      <c r="I333" s="54">
        <f t="shared" si="70"/>
        <v>-188.99014795198136</v>
      </c>
      <c r="J333" s="54">
        <f t="shared" si="70"/>
        <v>-1103.8030131377557</v>
      </c>
      <c r="K333" s="54">
        <f t="shared" si="70"/>
        <v>285.59901077505771</v>
      </c>
      <c r="L333" s="54">
        <f t="shared" si="70"/>
        <v>302.12232725871291</v>
      </c>
      <c r="M333" s="54">
        <f t="shared" si="70"/>
        <v>271.35111124367967</v>
      </c>
      <c r="N333" s="54">
        <f t="shared" si="70"/>
        <v>592.63422050149006</v>
      </c>
      <c r="O333" s="54">
        <f t="shared" si="70"/>
        <v>0</v>
      </c>
      <c r="P333" s="54">
        <f t="shared" si="70"/>
        <v>0</v>
      </c>
      <c r="Q333" s="54">
        <f t="shared" si="70"/>
        <v>0</v>
      </c>
      <c r="R333" s="54">
        <f t="shared" si="70"/>
        <v>0</v>
      </c>
      <c r="S333" s="54">
        <f t="shared" si="70"/>
        <v>0</v>
      </c>
      <c r="T333" s="54">
        <f t="shared" si="70"/>
        <v>0</v>
      </c>
      <c r="U333" s="54">
        <f t="shared" si="70"/>
        <v>0</v>
      </c>
      <c r="V333" s="54">
        <f t="shared" si="70"/>
        <v>0</v>
      </c>
      <c r="W333" s="54">
        <f t="shared" si="70"/>
        <v>0</v>
      </c>
    </row>
    <row r="334" spans="1:23" ht="15" customHeight="1" x14ac:dyDescent="0.2">
      <c r="A334" s="4" t="s">
        <v>2155</v>
      </c>
      <c r="D334" s="54">
        <f t="shared" ref="D334:W334" si="71">(D328-$C$317*D326)*(1-$C$320)*$C$316^D$3</f>
        <v>0</v>
      </c>
      <c r="E334" s="54">
        <f t="shared" si="71"/>
        <v>0</v>
      </c>
      <c r="F334" s="54">
        <f t="shared" si="71"/>
        <v>0</v>
      </c>
      <c r="G334" s="54">
        <f t="shared" si="71"/>
        <v>0</v>
      </c>
      <c r="H334" s="54">
        <f t="shared" si="71"/>
        <v>0</v>
      </c>
      <c r="I334" s="54">
        <f t="shared" si="71"/>
        <v>0</v>
      </c>
      <c r="J334" s="54">
        <f t="shared" si="71"/>
        <v>241.6518839069368</v>
      </c>
      <c r="K334" s="54">
        <f t="shared" si="71"/>
        <v>283.82100747660837</v>
      </c>
      <c r="L334" s="54">
        <f t="shared" si="71"/>
        <v>299.89856980378966</v>
      </c>
      <c r="M334" s="54">
        <f t="shared" si="71"/>
        <v>269.35384390496648</v>
      </c>
      <c r="N334" s="54">
        <f t="shared" si="71"/>
        <v>241.92010410002379</v>
      </c>
      <c r="O334" s="54">
        <f t="shared" si="71"/>
        <v>0</v>
      </c>
      <c r="P334" s="54">
        <f t="shared" si="71"/>
        <v>0</v>
      </c>
      <c r="Q334" s="54">
        <f t="shared" si="71"/>
        <v>0</v>
      </c>
      <c r="R334" s="54">
        <f t="shared" si="71"/>
        <v>0</v>
      </c>
      <c r="S334" s="54">
        <f t="shared" si="71"/>
        <v>0</v>
      </c>
      <c r="T334" s="54">
        <f t="shared" si="71"/>
        <v>0</v>
      </c>
      <c r="U334" s="54">
        <f t="shared" si="71"/>
        <v>0</v>
      </c>
      <c r="V334" s="54">
        <f t="shared" si="71"/>
        <v>0</v>
      </c>
      <c r="W334" s="54">
        <f t="shared" si="71"/>
        <v>0</v>
      </c>
    </row>
    <row r="335" spans="1:23" ht="15" customHeight="1" x14ac:dyDescent="0.2">
      <c r="A335" t="s">
        <v>2156</v>
      </c>
      <c r="C335" s="57">
        <f>INDEX(Assumptions!$F$50:$H$54,$C$319,MATCH(Assumptions!$B$4,Assumptions!$D$9:$F$9,0))</f>
        <v>6</v>
      </c>
    </row>
    <row r="336" spans="1:23" ht="15" customHeight="1" x14ac:dyDescent="0.2">
      <c r="A336" s="22" t="s">
        <v>2157</v>
      </c>
      <c r="C336" s="51">
        <f>SUM(D333:W333)</f>
        <v>-1133.741129202602</v>
      </c>
    </row>
    <row r="337" spans="1:3" ht="15" customHeight="1" x14ac:dyDescent="0.2">
      <c r="A337" s="4" t="s">
        <v>2158</v>
      </c>
      <c r="C337" s="48">
        <f>SUM(D334:W334)</f>
        <v>1336.6454091923251</v>
      </c>
    </row>
    <row r="338" spans="1:3" ht="15" customHeight="1" x14ac:dyDescent="0.2">
      <c r="A338" s="4" t="s">
        <v>63</v>
      </c>
      <c r="C338" s="31" t="str">
        <f>IF(C337&lt;=0,"n/a",IF(Assumptions!$D$45*(1-C336/C337)&gt;1,"&gt;100% (never)",Assumptions!$D$45*(1-C336/C337)))</f>
        <v>&gt;100% (never)</v>
      </c>
    </row>
    <row r="340" spans="1:3" ht="15" customHeight="1" x14ac:dyDescent="0.2">
      <c r="A340" s="5"/>
      <c r="C340" s="48"/>
    </row>
    <row r="341" spans="1:3" ht="15" customHeight="1" x14ac:dyDescent="0.2">
      <c r="A341" s="5"/>
      <c r="C341" s="48"/>
    </row>
    <row r="342" spans="1:3" ht="15" customHeight="1" x14ac:dyDescent="0.2">
      <c r="A342" s="5"/>
      <c r="C342" s="28"/>
    </row>
    <row r="343" spans="1:3" ht="15" customHeight="1" x14ac:dyDescent="0.2">
      <c r="A343" s="5"/>
      <c r="C343" s="28"/>
    </row>
    <row r="344" spans="1:3" ht="15" customHeight="1" x14ac:dyDescent="0.2">
      <c r="A344" s="5"/>
      <c r="C344" s="48"/>
    </row>
    <row r="345" spans="1:3" ht="15" customHeight="1" x14ac:dyDescent="0.2">
      <c r="A345" s="5"/>
      <c r="C345" s="48"/>
    </row>
    <row r="346" spans="1:3" ht="15" customHeight="1" x14ac:dyDescent="0.2">
      <c r="A346" s="5"/>
      <c r="C346" s="48"/>
    </row>
    <row r="347" spans="1:3" ht="15" customHeight="1" x14ac:dyDescent="0.2">
      <c r="A347" s="5"/>
      <c r="C347" s="48"/>
    </row>
    <row r="348" spans="1:3" ht="15" customHeight="1" x14ac:dyDescent="0.2">
      <c r="A348" s="5"/>
      <c r="C348" s="48"/>
    </row>
    <row r="349" spans="1:3" ht="15" customHeight="1" x14ac:dyDescent="0.2">
      <c r="A349" s="5"/>
      <c r="C349" s="48"/>
    </row>
    <row r="350" spans="1:3" ht="15" customHeight="1" x14ac:dyDescent="0.2">
      <c r="A350" s="5"/>
      <c r="C350" s="48"/>
    </row>
    <row r="351" spans="1:3" ht="15" customHeight="1" x14ac:dyDescent="0.2">
      <c r="A351" s="5"/>
      <c r="C351" s="48"/>
    </row>
    <row r="352" spans="1:3" ht="15" customHeight="1" x14ac:dyDescent="0.2">
      <c r="A352" s="5"/>
      <c r="C352" s="48"/>
    </row>
    <row r="353" spans="1:23" ht="15" customHeight="1" x14ac:dyDescent="0.2">
      <c r="A353" s="5"/>
      <c r="C353" s="48"/>
    </row>
    <row r="354" spans="1:23" ht="15" customHeight="1" x14ac:dyDescent="0.2">
      <c r="A354" s="5"/>
      <c r="C354" s="48"/>
    </row>
    <row r="357" spans="1:23" ht="15" customHeight="1" x14ac:dyDescent="0.2">
      <c r="A357" s="7" t="s">
        <v>2166</v>
      </c>
      <c r="B357" s="4" t="s">
        <v>257</v>
      </c>
    </row>
    <row r="358" spans="1:23" ht="15" customHeight="1" x14ac:dyDescent="0.2">
      <c r="A358" s="4" t="s">
        <v>2137</v>
      </c>
      <c r="C358" s="28">
        <f>ROUND($C$379,0)</f>
        <v>2</v>
      </c>
    </row>
    <row r="359" spans="1:23" ht="15" customHeight="1" x14ac:dyDescent="0.2">
      <c r="A359" s="4" t="s">
        <v>2138</v>
      </c>
      <c r="C359" s="28">
        <f>INDEX(Assumptions!$I$50:$K$54,$C$363,MATCH(Assumptions!$B$4,Assumptions!$D$9:$F$9,0))+Assumptions!$C$46</f>
        <v>6.8400000000000002E-2</v>
      </c>
    </row>
    <row r="360" spans="1:23" ht="15" customHeight="1" x14ac:dyDescent="0.2">
      <c r="A360" s="4" t="s">
        <v>2139</v>
      </c>
      <c r="C360" s="28">
        <f>1/(1+$C$359)</f>
        <v>0.93597903406963678</v>
      </c>
    </row>
    <row r="361" spans="1:23" ht="15" customHeight="1" x14ac:dyDescent="0.2">
      <c r="A361" s="4" t="s">
        <v>2140</v>
      </c>
      <c r="C361" s="48">
        <f>IT_load_MW*INDEX(Assumptions!$M$50:$M$54,$C$363,1)*Hours_per_year*INDEX(Assumptions!$C$50:$E$54,$C$363,MATCH(Assumptions!$B$4,Assumptions!$D$9:$F$9,0))*Assumptions!$C$45/Unit_scale</f>
        <v>53.653247999999998</v>
      </c>
    </row>
    <row r="362" spans="1:23" ht="15" customHeight="1" x14ac:dyDescent="0.2">
      <c r="A362" s="4" t="s">
        <v>2141</v>
      </c>
      <c r="C362" s="48">
        <f>IT_load_MW*OM_fixed+Insurance_rate*Calculations!$C$6+INDEX(Assumptions!$O$50:$O$54,$C$363,1)*($C$365+Calculations!$C$6)*(1-Prop_tax_abatement)</f>
        <v>81.142499999999998</v>
      </c>
    </row>
    <row r="363" spans="1:23" ht="15" customHeight="1" x14ac:dyDescent="0.2">
      <c r="A363" s="4" t="s">
        <v>2142</v>
      </c>
      <c r="C363" s="48">
        <f>MATCH($B$357,Assumptions!$B$50:$B$54,0)</f>
        <v>5</v>
      </c>
    </row>
    <row r="364" spans="1:23" ht="15" customHeight="1" x14ac:dyDescent="0.2">
      <c r="A364" s="4" t="s">
        <v>2143</v>
      </c>
      <c r="C364" s="28">
        <f>INDEX(Assumptions!$L$50:$L$54,MATCH($B$357,Assumptions!$B$50:$B$54,0),1)</f>
        <v>0.2</v>
      </c>
    </row>
    <row r="365" spans="1:23" ht="15" customHeight="1" x14ac:dyDescent="0.2">
      <c r="A365" s="4" t="s">
        <v>2144</v>
      </c>
      <c r="C365" s="48">
        <f>IT_load_MW*(Facility_capex_MW+INDEX(Assumptions!$N$50:$N$54,$C$363,1))</f>
        <v>1730</v>
      </c>
    </row>
    <row r="366" spans="1:23" ht="15" customHeight="1" x14ac:dyDescent="0.2">
      <c r="A366" s="4" t="s">
        <v>2145</v>
      </c>
      <c r="C366" s="50">
        <f>Calculations!$C$6</f>
        <v>2520</v>
      </c>
    </row>
    <row r="367" spans="1:23" ht="15" customHeight="1" x14ac:dyDescent="0.2">
      <c r="A367" s="4" t="s">
        <v>2146</v>
      </c>
      <c r="C367" s="48">
        <f>IT_load_MW*Assumptions!$G$12*Hours_per_year*Assumptions!$C$45/Unit_scale*Compute_P0</f>
        <v>2636.4096000000004</v>
      </c>
    </row>
    <row r="368" spans="1:23" ht="15" customHeight="1" x14ac:dyDescent="0.2">
      <c r="A368" s="4" t="s">
        <v>2147</v>
      </c>
      <c r="D368" s="4">
        <f t="shared" ref="D368:W368" si="72">IF(D$3&lt;$C$358,0,IF(D$3&lt;=$C$358+GPU_life-1,1,0))</f>
        <v>0</v>
      </c>
      <c r="E368" s="4">
        <f t="shared" si="72"/>
        <v>0</v>
      </c>
      <c r="F368" s="4">
        <f t="shared" si="72"/>
        <v>1</v>
      </c>
      <c r="G368" s="4">
        <f t="shared" si="72"/>
        <v>1</v>
      </c>
      <c r="H368" s="4">
        <f t="shared" si="72"/>
        <v>1</v>
      </c>
      <c r="I368" s="4">
        <f t="shared" si="72"/>
        <v>1</v>
      </c>
      <c r="J368" s="4">
        <f t="shared" si="72"/>
        <v>1</v>
      </c>
      <c r="K368" s="4">
        <f t="shared" si="72"/>
        <v>0</v>
      </c>
      <c r="L368" s="4">
        <f t="shared" si="72"/>
        <v>0</v>
      </c>
      <c r="M368" s="4">
        <f t="shared" si="72"/>
        <v>0</v>
      </c>
      <c r="N368" s="4">
        <f t="shared" si="72"/>
        <v>0</v>
      </c>
      <c r="O368" s="4">
        <f t="shared" si="72"/>
        <v>0</v>
      </c>
      <c r="P368" s="4">
        <f t="shared" si="72"/>
        <v>0</v>
      </c>
      <c r="Q368" s="4">
        <f t="shared" si="72"/>
        <v>0</v>
      </c>
      <c r="R368" s="4">
        <f t="shared" si="72"/>
        <v>0</v>
      </c>
      <c r="S368" s="4">
        <f t="shared" si="72"/>
        <v>0</v>
      </c>
      <c r="T368" s="4">
        <f t="shared" si="72"/>
        <v>0</v>
      </c>
      <c r="U368" s="4">
        <f t="shared" si="72"/>
        <v>0</v>
      </c>
      <c r="V368" s="4">
        <f t="shared" si="72"/>
        <v>0</v>
      </c>
      <c r="W368" s="4">
        <f t="shared" si="72"/>
        <v>0</v>
      </c>
    </row>
    <row r="369" spans="1:23" ht="15" customHeight="1" x14ac:dyDescent="0.2">
      <c r="A369" s="4" t="s">
        <v>35</v>
      </c>
      <c r="D369" s="4">
        <f t="shared" ref="D369:W369" si="73">--(D368&gt;0)</f>
        <v>0</v>
      </c>
      <c r="E369" s="4">
        <f t="shared" si="73"/>
        <v>0</v>
      </c>
      <c r="F369" s="4">
        <f t="shared" si="73"/>
        <v>1</v>
      </c>
      <c r="G369" s="4">
        <f t="shared" si="73"/>
        <v>1</v>
      </c>
      <c r="H369" s="4">
        <f t="shared" si="73"/>
        <v>1</v>
      </c>
      <c r="I369" s="4">
        <f t="shared" si="73"/>
        <v>1</v>
      </c>
      <c r="J369" s="4">
        <f t="shared" si="73"/>
        <v>1</v>
      </c>
      <c r="K369" s="4">
        <f t="shared" si="73"/>
        <v>0</v>
      </c>
      <c r="L369" s="4">
        <f t="shared" si="73"/>
        <v>0</v>
      </c>
      <c r="M369" s="4">
        <f t="shared" si="73"/>
        <v>0</v>
      </c>
      <c r="N369" s="4">
        <f t="shared" si="73"/>
        <v>0</v>
      </c>
      <c r="O369" s="4">
        <f t="shared" si="73"/>
        <v>0</v>
      </c>
      <c r="P369" s="4">
        <f t="shared" si="73"/>
        <v>0</v>
      </c>
      <c r="Q369" s="4">
        <f t="shared" si="73"/>
        <v>0</v>
      </c>
      <c r="R369" s="4">
        <f t="shared" si="73"/>
        <v>0</v>
      </c>
      <c r="S369" s="4">
        <f t="shared" si="73"/>
        <v>0</v>
      </c>
      <c r="T369" s="4">
        <f t="shared" si="73"/>
        <v>0</v>
      </c>
      <c r="U369" s="4">
        <f t="shared" si="73"/>
        <v>0</v>
      </c>
      <c r="V369" s="4">
        <f t="shared" si="73"/>
        <v>0</v>
      </c>
      <c r="W369" s="4">
        <f t="shared" si="73"/>
        <v>0</v>
      </c>
    </row>
    <row r="370" spans="1:23" ht="15" customHeight="1" x14ac:dyDescent="0.2">
      <c r="A370" s="4" t="s">
        <v>2148</v>
      </c>
      <c r="D370" s="28">
        <f t="shared" ref="D370:W370" si="74">D369*(1-(1-Ramp_yr1)*((D$3-$C$358)=0)-(1-Ramp_yr2)*((D$3-$C$358)=1))</f>
        <v>0</v>
      </c>
      <c r="E370" s="28">
        <f t="shared" si="74"/>
        <v>0</v>
      </c>
      <c r="F370" s="28">
        <f t="shared" si="74"/>
        <v>0.65</v>
      </c>
      <c r="G370" s="28">
        <f t="shared" si="74"/>
        <v>0.85</v>
      </c>
      <c r="H370" s="28">
        <f t="shared" si="74"/>
        <v>1</v>
      </c>
      <c r="I370" s="28">
        <f t="shared" si="74"/>
        <v>1</v>
      </c>
      <c r="J370" s="28">
        <f t="shared" si="74"/>
        <v>1</v>
      </c>
      <c r="K370" s="28">
        <f t="shared" si="74"/>
        <v>0</v>
      </c>
      <c r="L370" s="28">
        <f t="shared" si="74"/>
        <v>0</v>
      </c>
      <c r="M370" s="28">
        <f t="shared" si="74"/>
        <v>0</v>
      </c>
      <c r="N370" s="28">
        <f t="shared" si="74"/>
        <v>0</v>
      </c>
      <c r="O370" s="28">
        <f t="shared" si="74"/>
        <v>0</v>
      </c>
      <c r="P370" s="28">
        <f t="shared" si="74"/>
        <v>0</v>
      </c>
      <c r="Q370" s="28">
        <f t="shared" si="74"/>
        <v>0</v>
      </c>
      <c r="R370" s="28">
        <f t="shared" si="74"/>
        <v>0</v>
      </c>
      <c r="S370" s="28">
        <f t="shared" si="74"/>
        <v>0</v>
      </c>
      <c r="T370" s="28">
        <f t="shared" si="74"/>
        <v>0</v>
      </c>
      <c r="U370" s="28">
        <f t="shared" si="74"/>
        <v>0</v>
      </c>
      <c r="V370" s="28">
        <f t="shared" si="74"/>
        <v>0</v>
      </c>
      <c r="W370" s="28">
        <f t="shared" si="74"/>
        <v>0</v>
      </c>
    </row>
    <row r="371" spans="1:23" ht="15" customHeight="1" x14ac:dyDescent="0.2">
      <c r="A371" s="4" t="s">
        <v>2149</v>
      </c>
      <c r="D371" s="48">
        <f t="shared" ref="D371:W371" si="75">MAX(Price_floor,Compute_P0*(1-Price_decline)^$C$379)</f>
        <v>3.648000000000001</v>
      </c>
      <c r="E371" s="48">
        <f t="shared" si="75"/>
        <v>3.648000000000001</v>
      </c>
      <c r="F371" s="48">
        <f t="shared" si="75"/>
        <v>3.648000000000001</v>
      </c>
      <c r="G371" s="48">
        <f t="shared" si="75"/>
        <v>3.648000000000001</v>
      </c>
      <c r="H371" s="48">
        <f t="shared" si="75"/>
        <v>3.648000000000001</v>
      </c>
      <c r="I371" s="48">
        <f t="shared" si="75"/>
        <v>3.648000000000001</v>
      </c>
      <c r="J371" s="48">
        <f t="shared" si="75"/>
        <v>3.648000000000001</v>
      </c>
      <c r="K371" s="48">
        <f t="shared" si="75"/>
        <v>3.648000000000001</v>
      </c>
      <c r="L371" s="48">
        <f t="shared" si="75"/>
        <v>3.648000000000001</v>
      </c>
      <c r="M371" s="48">
        <f t="shared" si="75"/>
        <v>3.648000000000001</v>
      </c>
      <c r="N371" s="48">
        <f t="shared" si="75"/>
        <v>3.648000000000001</v>
      </c>
      <c r="O371" s="48">
        <f t="shared" si="75"/>
        <v>3.648000000000001</v>
      </c>
      <c r="P371" s="48">
        <f t="shared" si="75"/>
        <v>3.648000000000001</v>
      </c>
      <c r="Q371" s="48">
        <f t="shared" si="75"/>
        <v>3.648000000000001</v>
      </c>
      <c r="R371" s="48">
        <f t="shared" si="75"/>
        <v>3.648000000000001</v>
      </c>
      <c r="S371" s="48">
        <f t="shared" si="75"/>
        <v>3.648000000000001</v>
      </c>
      <c r="T371" s="48">
        <f t="shared" si="75"/>
        <v>3.648000000000001</v>
      </c>
      <c r="U371" s="48">
        <f t="shared" si="75"/>
        <v>3.648000000000001</v>
      </c>
      <c r="V371" s="48">
        <f t="shared" si="75"/>
        <v>3.648000000000001</v>
      </c>
      <c r="W371" s="48">
        <f t="shared" si="75"/>
        <v>3.648000000000001</v>
      </c>
    </row>
    <row r="372" spans="1:23" ht="15" customHeight="1" x14ac:dyDescent="0.2">
      <c r="A372" s="4" t="s">
        <v>2150</v>
      </c>
      <c r="D372" s="54">
        <f t="shared" ref="D372:W372" si="76">$C$367*D371/Compute_P0*D370</f>
        <v>0</v>
      </c>
      <c r="E372" s="54">
        <f t="shared" si="76"/>
        <v>0</v>
      </c>
      <c r="F372" s="54">
        <f t="shared" si="76"/>
        <v>1096.7463936000004</v>
      </c>
      <c r="G372" s="54">
        <f t="shared" si="76"/>
        <v>1434.2068224000006</v>
      </c>
      <c r="H372" s="54">
        <f t="shared" si="76"/>
        <v>1687.3021440000007</v>
      </c>
      <c r="I372" s="54">
        <f t="shared" si="76"/>
        <v>1687.3021440000007</v>
      </c>
      <c r="J372" s="54">
        <f t="shared" si="76"/>
        <v>1687.3021440000007</v>
      </c>
      <c r="K372" s="54">
        <f t="shared" si="76"/>
        <v>0</v>
      </c>
      <c r="L372" s="54">
        <f t="shared" si="76"/>
        <v>0</v>
      </c>
      <c r="M372" s="54">
        <f t="shared" si="76"/>
        <v>0</v>
      </c>
      <c r="N372" s="54">
        <f t="shared" si="76"/>
        <v>0</v>
      </c>
      <c r="O372" s="54">
        <f t="shared" si="76"/>
        <v>0</v>
      </c>
      <c r="P372" s="54">
        <f t="shared" si="76"/>
        <v>0</v>
      </c>
      <c r="Q372" s="54">
        <f t="shared" si="76"/>
        <v>0</v>
      </c>
      <c r="R372" s="54">
        <f t="shared" si="76"/>
        <v>0</v>
      </c>
      <c r="S372" s="54">
        <f t="shared" si="76"/>
        <v>0</v>
      </c>
      <c r="T372" s="54">
        <f t="shared" si="76"/>
        <v>0</v>
      </c>
      <c r="U372" s="54">
        <f t="shared" si="76"/>
        <v>0</v>
      </c>
      <c r="V372" s="54">
        <f t="shared" si="76"/>
        <v>0</v>
      </c>
      <c r="W372" s="54">
        <f t="shared" si="76"/>
        <v>0</v>
      </c>
    </row>
    <row r="373" spans="1:23" ht="15" customHeight="1" x14ac:dyDescent="0.2">
      <c r="A373" s="4" t="s">
        <v>42</v>
      </c>
      <c r="D373" s="54">
        <f t="shared" ref="D373:W373" si="77">D372-$C$361*D370-$C$362*D369</f>
        <v>0</v>
      </c>
      <c r="E373" s="54">
        <f t="shared" si="77"/>
        <v>0</v>
      </c>
      <c r="F373" s="54">
        <f t="shared" si="77"/>
        <v>980.72928240000044</v>
      </c>
      <c r="G373" s="54">
        <f t="shared" si="77"/>
        <v>1307.4590616000007</v>
      </c>
      <c r="H373" s="54">
        <f t="shared" si="77"/>
        <v>1552.5063960000007</v>
      </c>
      <c r="I373" s="54">
        <f t="shared" si="77"/>
        <v>1552.5063960000007</v>
      </c>
      <c r="J373" s="54">
        <f t="shared" si="77"/>
        <v>1552.5063960000007</v>
      </c>
      <c r="K373" s="54">
        <f t="shared" si="77"/>
        <v>0</v>
      </c>
      <c r="L373" s="54">
        <f t="shared" si="77"/>
        <v>0</v>
      </c>
      <c r="M373" s="54">
        <f t="shared" si="77"/>
        <v>0</v>
      </c>
      <c r="N373" s="54">
        <f t="shared" si="77"/>
        <v>0</v>
      </c>
      <c r="O373" s="54">
        <f t="shared" si="77"/>
        <v>0</v>
      </c>
      <c r="P373" s="54">
        <f t="shared" si="77"/>
        <v>0</v>
      </c>
      <c r="Q373" s="54">
        <f t="shared" si="77"/>
        <v>0</v>
      </c>
      <c r="R373" s="54">
        <f t="shared" si="77"/>
        <v>0</v>
      </c>
      <c r="S373" s="54">
        <f t="shared" si="77"/>
        <v>0</v>
      </c>
      <c r="T373" s="54">
        <f t="shared" si="77"/>
        <v>0</v>
      </c>
      <c r="U373" s="54">
        <f t="shared" si="77"/>
        <v>0</v>
      </c>
      <c r="V373" s="54">
        <f t="shared" si="77"/>
        <v>0</v>
      </c>
      <c r="W373" s="54">
        <f t="shared" si="77"/>
        <v>0</v>
      </c>
    </row>
    <row r="374" spans="1:23" ht="15" customHeight="1" x14ac:dyDescent="0.2">
      <c r="A374" s="4" t="s">
        <v>2151</v>
      </c>
      <c r="D374" s="54">
        <f>-($C$365*Calculations!$C$15+$C$366/GPU_life)*D369</f>
        <v>0</v>
      </c>
      <c r="E374" s="54">
        <f>-($C$365*Calculations!$C$15+$C$366/GPU_life)*E369</f>
        <v>0</v>
      </c>
      <c r="F374" s="54">
        <f>-($C$365*Calculations!$C$15+$C$366/GPU_life)*F369</f>
        <v>-614.43166666666662</v>
      </c>
      <c r="G374" s="54">
        <f>-($C$365*Calculations!$C$15+$C$366/GPU_life)*G369</f>
        <v>-614.43166666666662</v>
      </c>
      <c r="H374" s="54">
        <f>-($C$365*Calculations!$C$15+$C$366/GPU_life)*H369</f>
        <v>-614.43166666666662</v>
      </c>
      <c r="I374" s="54">
        <f>-($C$365*Calculations!$C$15+$C$366/GPU_life)*I369</f>
        <v>-614.43166666666662</v>
      </c>
      <c r="J374" s="54">
        <f>-($C$365*Calculations!$C$15+$C$366/GPU_life)*J369</f>
        <v>-614.43166666666662</v>
      </c>
      <c r="K374" s="54">
        <f>-($C$365*Calculations!$C$15+$C$366/GPU_life)*K369</f>
        <v>0</v>
      </c>
      <c r="L374" s="54">
        <f>-($C$365*Calculations!$C$15+$C$366/GPU_life)*L369</f>
        <v>0</v>
      </c>
      <c r="M374" s="54">
        <f>-($C$365*Calculations!$C$15+$C$366/GPU_life)*M369</f>
        <v>0</v>
      </c>
      <c r="N374" s="54">
        <f>-($C$365*Calculations!$C$15+$C$366/GPU_life)*N369</f>
        <v>0</v>
      </c>
      <c r="O374" s="54">
        <f>-($C$365*Calculations!$C$15+$C$366/GPU_life)*O369</f>
        <v>0</v>
      </c>
      <c r="P374" s="54">
        <f>-($C$365*Calculations!$C$15+$C$366/GPU_life)*P369</f>
        <v>0</v>
      </c>
      <c r="Q374" s="54">
        <f>-($C$365*Calculations!$C$15+$C$366/GPU_life)*Q369</f>
        <v>0</v>
      </c>
      <c r="R374" s="54">
        <f>-($C$365*Calculations!$C$15+$C$366/GPU_life)*R369</f>
        <v>0</v>
      </c>
      <c r="S374" s="54">
        <f>-($C$365*Calculations!$C$15+$C$366/GPU_life)*S369</f>
        <v>0</v>
      </c>
      <c r="T374" s="54">
        <f>-($C$365*Calculations!$C$15+$C$366/GPU_life)*T369</f>
        <v>0</v>
      </c>
      <c r="U374" s="54">
        <f>-($C$365*Calculations!$C$15+$C$366/GPU_life)*U369</f>
        <v>0</v>
      </c>
      <c r="V374" s="54">
        <f>-($C$365*Calculations!$C$15+$C$366/GPU_life)*V369</f>
        <v>0</v>
      </c>
      <c r="W374" s="54">
        <f>-($C$365*Calculations!$C$15+$C$366/GPU_life)*W369</f>
        <v>0</v>
      </c>
    </row>
    <row r="375" spans="1:23" ht="15" customHeight="1" x14ac:dyDescent="0.2">
      <c r="A375" s="4" t="s">
        <v>2152</v>
      </c>
      <c r="D375" s="54">
        <f t="shared" ref="D375:W375" si="78">-$C$364*MAX(D373+D374,0)</f>
        <v>0</v>
      </c>
      <c r="E375" s="54">
        <f t="shared" si="78"/>
        <v>0</v>
      </c>
      <c r="F375" s="54">
        <f t="shared" si="78"/>
        <v>-73.259523146666766</v>
      </c>
      <c r="G375" s="54">
        <f t="shared" si="78"/>
        <v>-138.60547898666684</v>
      </c>
      <c r="H375" s="54">
        <f t="shared" si="78"/>
        <v>-187.61494586666683</v>
      </c>
      <c r="I375" s="54">
        <f t="shared" si="78"/>
        <v>-187.61494586666683</v>
      </c>
      <c r="J375" s="54">
        <f t="shared" si="78"/>
        <v>-187.61494586666683</v>
      </c>
      <c r="K375" s="54">
        <f t="shared" si="78"/>
        <v>0</v>
      </c>
      <c r="L375" s="54">
        <f t="shared" si="78"/>
        <v>0</v>
      </c>
      <c r="M375" s="54">
        <f t="shared" si="78"/>
        <v>0</v>
      </c>
      <c r="N375" s="54">
        <f t="shared" si="78"/>
        <v>0</v>
      </c>
      <c r="O375" s="54">
        <f t="shared" si="78"/>
        <v>0</v>
      </c>
      <c r="P375" s="54">
        <f t="shared" si="78"/>
        <v>0</v>
      </c>
      <c r="Q375" s="54">
        <f t="shared" si="78"/>
        <v>0</v>
      </c>
      <c r="R375" s="54">
        <f t="shared" si="78"/>
        <v>0</v>
      </c>
      <c r="S375" s="54">
        <f t="shared" si="78"/>
        <v>0</v>
      </c>
      <c r="T375" s="54">
        <f t="shared" si="78"/>
        <v>0</v>
      </c>
      <c r="U375" s="54">
        <f t="shared" si="78"/>
        <v>0</v>
      </c>
      <c r="V375" s="54">
        <f t="shared" si="78"/>
        <v>0</v>
      </c>
      <c r="W375" s="54">
        <f t="shared" si="78"/>
        <v>0</v>
      </c>
    </row>
    <row r="376" spans="1:23" ht="15" customHeight="1" x14ac:dyDescent="0.2">
      <c r="A376" s="4" t="s">
        <v>2153</v>
      </c>
      <c r="D376" s="54">
        <f>D373+D375-$C$365*IF($C$358=0,--(D$3=0),--(D$3&lt;=$C$358-1)/$C$358)-$C$365*Assumptions!$F$38*IF(AND(D$3&gt;=1,D$3&lt;=$C$358),1,0)-$C$366*(D$3=$C$358)+($C$365*Facility_salvage_pct+$C$366*GPU_salvage_pct*(1-$C$364))*(D$3=$C$358+GPU_life-1)</f>
        <v>-865</v>
      </c>
      <c r="E376" s="54">
        <f>E373+E375-$C$365*IF($C$358=0,--(E$3=0),--(E$3&lt;=$C$358-1)/$C$358)-$C$365*Assumptions!$F$38*IF(AND(E$3&gt;=1,E$3&lt;=$C$358),1,0)-$C$366*(E$3=$C$358)+($C$365*Facility_salvage_pct+$C$366*GPU_salvage_pct*(1-$C$364))*(E$3=$C$358+GPU_life-1)</f>
        <v>-890.95</v>
      </c>
      <c r="F376" s="54">
        <f>F373+F375-$C$365*IF($C$358=0,--(F$3=0),--(F$3&lt;=$C$358-1)/$C$358)-$C$365*Assumptions!$F$38*IF(AND(F$3&gt;=1,F$3&lt;=$C$358),1,0)-$C$366*(F$3=$C$358)+($C$365*Facility_salvage_pct+$C$366*GPU_salvage_pct*(1-$C$364))*(F$3=$C$358+GPU_life-1)</f>
        <v>-1638.4802407466664</v>
      </c>
      <c r="G376" s="54">
        <f>G373+G375-$C$365*IF($C$358=0,--(G$3=0),--(G$3&lt;=$C$358-1)/$C$358)-$C$365*Assumptions!$F$38*IF(AND(G$3&gt;=1,G$3&lt;=$C$358),1,0)-$C$366*(G$3=$C$358)+($C$365*Facility_salvage_pct+$C$366*GPU_salvage_pct*(1-$C$364))*(G$3=$C$358+GPU_life-1)</f>
        <v>1168.8535826133339</v>
      </c>
      <c r="H376" s="54">
        <f>H373+H375-$C$365*IF($C$358=0,--(H$3=0),--(H$3&lt;=$C$358-1)/$C$358)-$C$365*Assumptions!$F$38*IF(AND(H$3&gt;=1,H$3&lt;=$C$358),1,0)-$C$366*(H$3=$C$358)+($C$365*Facility_salvage_pct+$C$366*GPU_salvage_pct*(1-$C$364))*(H$3=$C$358+GPU_life-1)</f>
        <v>1364.8914501333338</v>
      </c>
      <c r="I376" s="54">
        <f>I373+I375-$C$365*IF($C$358=0,--(I$3=0),--(I$3&lt;=$C$358-1)/$C$358)-$C$365*Assumptions!$F$38*IF(AND(I$3&gt;=1,I$3&lt;=$C$358),1,0)-$C$366*(I$3=$C$358)+($C$365*Facility_salvage_pct+$C$366*GPU_salvage_pct*(1-$C$364))*(I$3=$C$358+GPU_life-1)</f>
        <v>1364.8914501333338</v>
      </c>
      <c r="J376" s="54">
        <f>J373+J375-$C$365*IF($C$358=0,--(J$3=0),--(J$3&lt;=$C$358-1)/$C$358)-$C$365*Assumptions!$F$38*IF(AND(J$3&gt;=1,J$3&lt;=$C$358),1,0)-$C$366*(J$3=$C$358)+($C$365*Facility_salvage_pct+$C$366*GPU_salvage_pct*(1-$C$364))*(J$3=$C$358+GPU_life-1)</f>
        <v>2344.9914501333337</v>
      </c>
      <c r="K376" s="54">
        <f>K373+K375-$C$365*IF($C$358=0,--(K$3=0),--(K$3&lt;=$C$358-1)/$C$358)-$C$365*Assumptions!$F$38*IF(AND(K$3&gt;=1,K$3&lt;=$C$358),1,0)-$C$366*(K$3=$C$358)+($C$365*Facility_salvage_pct+$C$366*GPU_salvage_pct*(1-$C$364))*(K$3=$C$358+GPU_life-1)</f>
        <v>0</v>
      </c>
      <c r="L376" s="54">
        <f>L373+L375-$C$365*IF($C$358=0,--(L$3=0),--(L$3&lt;=$C$358-1)/$C$358)-$C$365*Assumptions!$F$38*IF(AND(L$3&gt;=1,L$3&lt;=$C$358),1,0)-$C$366*(L$3=$C$358)+($C$365*Facility_salvage_pct+$C$366*GPU_salvage_pct*(1-$C$364))*(L$3=$C$358+GPU_life-1)</f>
        <v>0</v>
      </c>
      <c r="M376" s="54">
        <f>M373+M375-$C$365*IF($C$358=0,--(M$3=0),--(M$3&lt;=$C$358-1)/$C$358)-$C$365*Assumptions!$F$38*IF(AND(M$3&gt;=1,M$3&lt;=$C$358),1,0)-$C$366*(M$3=$C$358)+($C$365*Facility_salvage_pct+$C$366*GPU_salvage_pct*(1-$C$364))*(M$3=$C$358+GPU_life-1)</f>
        <v>0</v>
      </c>
      <c r="N376" s="54">
        <f>N373+N375-$C$365*IF($C$358=0,--(N$3=0),--(N$3&lt;=$C$358-1)/$C$358)-$C$365*Assumptions!$F$38*IF(AND(N$3&gt;=1,N$3&lt;=$C$358),1,0)-$C$366*(N$3=$C$358)+($C$365*Facility_salvage_pct+$C$366*GPU_salvage_pct*(1-$C$364))*(N$3=$C$358+GPU_life-1)</f>
        <v>0</v>
      </c>
      <c r="O376" s="54">
        <f>O373+O375-$C$365*IF($C$358=0,--(O$3=0),--(O$3&lt;=$C$358-1)/$C$358)-$C$365*Assumptions!$F$38*IF(AND(O$3&gt;=1,O$3&lt;=$C$358),1,0)-$C$366*(O$3=$C$358)+($C$365*Facility_salvage_pct+$C$366*GPU_salvage_pct*(1-$C$364))*(O$3=$C$358+GPU_life-1)</f>
        <v>0</v>
      </c>
      <c r="P376" s="54">
        <f>P373+P375-$C$365*IF($C$358=0,--(P$3=0),--(P$3&lt;=$C$358-1)/$C$358)-$C$365*Assumptions!$F$38*IF(AND(P$3&gt;=1,P$3&lt;=$C$358),1,0)-$C$366*(P$3=$C$358)+($C$365*Facility_salvage_pct+$C$366*GPU_salvage_pct*(1-$C$364))*(P$3=$C$358+GPU_life-1)</f>
        <v>0</v>
      </c>
      <c r="Q376" s="54">
        <f>Q373+Q375-$C$365*IF($C$358=0,--(Q$3=0),--(Q$3&lt;=$C$358-1)/$C$358)-$C$365*Assumptions!$F$38*IF(AND(Q$3&gt;=1,Q$3&lt;=$C$358),1,0)-$C$366*(Q$3=$C$358)+($C$365*Facility_salvage_pct+$C$366*GPU_salvage_pct*(1-$C$364))*(Q$3=$C$358+GPU_life-1)</f>
        <v>0</v>
      </c>
      <c r="R376" s="54">
        <f>R373+R375-$C$365*IF($C$358=0,--(R$3=0),--(R$3&lt;=$C$358-1)/$C$358)-$C$365*Assumptions!$F$38*IF(AND(R$3&gt;=1,R$3&lt;=$C$358),1,0)-$C$366*(R$3=$C$358)+($C$365*Facility_salvage_pct+$C$366*GPU_salvage_pct*(1-$C$364))*(R$3=$C$358+GPU_life-1)</f>
        <v>0</v>
      </c>
      <c r="S376" s="54">
        <f>S373+S375-$C$365*IF($C$358=0,--(S$3=0),--(S$3&lt;=$C$358-1)/$C$358)-$C$365*Assumptions!$F$38*IF(AND(S$3&gt;=1,S$3&lt;=$C$358),1,0)-$C$366*(S$3=$C$358)+($C$365*Facility_salvage_pct+$C$366*GPU_salvage_pct*(1-$C$364))*(S$3=$C$358+GPU_life-1)</f>
        <v>0</v>
      </c>
      <c r="T376" s="54">
        <f>T373+T375-$C$365*IF($C$358=0,--(T$3=0),--(T$3&lt;=$C$358-1)/$C$358)-$C$365*Assumptions!$F$38*IF(AND(T$3&gt;=1,T$3&lt;=$C$358),1,0)-$C$366*(T$3=$C$358)+($C$365*Facility_salvage_pct+$C$366*GPU_salvage_pct*(1-$C$364))*(T$3=$C$358+GPU_life-1)</f>
        <v>0</v>
      </c>
      <c r="U376" s="54">
        <f>U373+U375-$C$365*IF($C$358=0,--(U$3=0),--(U$3&lt;=$C$358-1)/$C$358)-$C$365*Assumptions!$F$38*IF(AND(U$3&gt;=1,U$3&lt;=$C$358),1,0)-$C$366*(U$3=$C$358)+($C$365*Facility_salvage_pct+$C$366*GPU_salvage_pct*(1-$C$364))*(U$3=$C$358+GPU_life-1)</f>
        <v>0</v>
      </c>
      <c r="V376" s="54">
        <f>V373+V375-$C$365*IF($C$358=0,--(V$3=0),--(V$3&lt;=$C$358-1)/$C$358)-$C$365*Assumptions!$F$38*IF(AND(V$3&gt;=1,V$3&lt;=$C$358),1,0)-$C$366*(V$3=$C$358)+($C$365*Facility_salvage_pct+$C$366*GPU_salvage_pct*(1-$C$364))*(V$3=$C$358+GPU_life-1)</f>
        <v>0</v>
      </c>
      <c r="W376" s="54">
        <f>W373+W375-$C$365*IF($C$358=0,--(W$3=0),--(W$3&lt;=$C$358-1)/$C$358)-$C$365*Assumptions!$F$38*IF(AND(W$3&gt;=1,W$3&lt;=$C$358),1,0)-$C$366*(W$3=$C$358)+($C$365*Facility_salvage_pct+$C$366*GPU_salvage_pct*(1-$C$364))*(W$3=$C$358+GPU_life-1)</f>
        <v>0</v>
      </c>
    </row>
    <row r="377" spans="1:23" ht="15" customHeight="1" x14ac:dyDescent="0.2">
      <c r="A377" s="4" t="s">
        <v>2154</v>
      </c>
      <c r="D377" s="54">
        <f t="shared" ref="D377:W377" si="79">D376*$C$360^D$3</f>
        <v>-865</v>
      </c>
      <c r="E377" s="54">
        <f t="shared" si="79"/>
        <v>-833.91052040434295</v>
      </c>
      <c r="F377" s="54">
        <f t="shared" si="79"/>
        <v>-1435.4016782817771</v>
      </c>
      <c r="G377" s="54">
        <f t="shared" si="79"/>
        <v>958.42575196792347</v>
      </c>
      <c r="H377" s="54">
        <f t="shared" si="79"/>
        <v>1047.5206568346141</v>
      </c>
      <c r="I377" s="54">
        <f t="shared" si="79"/>
        <v>980.4573725520537</v>
      </c>
      <c r="J377" s="54">
        <f t="shared" si="79"/>
        <v>1576.6597743390118</v>
      </c>
      <c r="K377" s="54">
        <f t="shared" si="79"/>
        <v>0</v>
      </c>
      <c r="L377" s="54">
        <f t="shared" si="79"/>
        <v>0</v>
      </c>
      <c r="M377" s="54">
        <f t="shared" si="79"/>
        <v>0</v>
      </c>
      <c r="N377" s="54">
        <f t="shared" si="79"/>
        <v>0</v>
      </c>
      <c r="O377" s="54">
        <f t="shared" si="79"/>
        <v>0</v>
      </c>
      <c r="P377" s="54">
        <f t="shared" si="79"/>
        <v>0</v>
      </c>
      <c r="Q377" s="54">
        <f t="shared" si="79"/>
        <v>0</v>
      </c>
      <c r="R377" s="54">
        <f t="shared" si="79"/>
        <v>0</v>
      </c>
      <c r="S377" s="54">
        <f t="shared" si="79"/>
        <v>0</v>
      </c>
      <c r="T377" s="54">
        <f t="shared" si="79"/>
        <v>0</v>
      </c>
      <c r="U377" s="54">
        <f t="shared" si="79"/>
        <v>0</v>
      </c>
      <c r="V377" s="54">
        <f t="shared" si="79"/>
        <v>0</v>
      </c>
      <c r="W377" s="54">
        <f t="shared" si="79"/>
        <v>0</v>
      </c>
    </row>
    <row r="378" spans="1:23" ht="15" customHeight="1" x14ac:dyDescent="0.2">
      <c r="A378" s="4" t="s">
        <v>2155</v>
      </c>
      <c r="D378" s="54">
        <f t="shared" ref="D378:W378" si="80">(D372-$C$361*D370)*(1-$C$364)*$C$360^D$3</f>
        <v>0</v>
      </c>
      <c r="E378" s="54">
        <f t="shared" si="80"/>
        <v>0</v>
      </c>
      <c r="F378" s="54">
        <f t="shared" si="80"/>
        <v>744.20795596896744</v>
      </c>
      <c r="G378" s="54">
        <f t="shared" si="80"/>
        <v>910.89013416701061</v>
      </c>
      <c r="H378" s="54">
        <f t="shared" si="80"/>
        <v>1003.0283152014124</v>
      </c>
      <c r="I378" s="54">
        <f t="shared" si="80"/>
        <v>938.81347360671327</v>
      </c>
      <c r="J378" s="54">
        <f t="shared" si="80"/>
        <v>878.70972819797191</v>
      </c>
      <c r="K378" s="54">
        <f t="shared" si="80"/>
        <v>0</v>
      </c>
      <c r="L378" s="54">
        <f t="shared" si="80"/>
        <v>0</v>
      </c>
      <c r="M378" s="54">
        <f t="shared" si="80"/>
        <v>0</v>
      </c>
      <c r="N378" s="54">
        <f t="shared" si="80"/>
        <v>0</v>
      </c>
      <c r="O378" s="54">
        <f t="shared" si="80"/>
        <v>0</v>
      </c>
      <c r="P378" s="54">
        <f t="shared" si="80"/>
        <v>0</v>
      </c>
      <c r="Q378" s="54">
        <f t="shared" si="80"/>
        <v>0</v>
      </c>
      <c r="R378" s="54">
        <f t="shared" si="80"/>
        <v>0</v>
      </c>
      <c r="S378" s="54">
        <f t="shared" si="80"/>
        <v>0</v>
      </c>
      <c r="T378" s="54">
        <f t="shared" si="80"/>
        <v>0</v>
      </c>
      <c r="U378" s="54">
        <f t="shared" si="80"/>
        <v>0</v>
      </c>
      <c r="V378" s="54">
        <f t="shared" si="80"/>
        <v>0</v>
      </c>
      <c r="W378" s="54">
        <f t="shared" si="80"/>
        <v>0</v>
      </c>
    </row>
    <row r="379" spans="1:23" ht="15" customHeight="1" x14ac:dyDescent="0.2">
      <c r="A379" t="s">
        <v>2156</v>
      </c>
      <c r="C379" s="57">
        <f>INDEX(Assumptions!$F$50:$H$54,$C$363,MATCH(Assumptions!$B$4,Assumptions!$D$9:$F$9,0))</f>
        <v>2</v>
      </c>
    </row>
    <row r="380" spans="1:23" ht="15" customHeight="1" x14ac:dyDescent="0.2">
      <c r="A380" s="22" t="s">
        <v>2157</v>
      </c>
      <c r="C380" s="51">
        <f>SUM(D377:W377)</f>
        <v>1428.751357007483</v>
      </c>
    </row>
    <row r="381" spans="1:23" ht="15" customHeight="1" x14ac:dyDescent="0.2">
      <c r="A381" s="4" t="s">
        <v>2158</v>
      </c>
      <c r="C381" s="48">
        <f>SUM(D378:W378)</f>
        <v>4475.6496071420761</v>
      </c>
    </row>
    <row r="382" spans="1:23" ht="15" customHeight="1" x14ac:dyDescent="0.2">
      <c r="A382" s="4" t="s">
        <v>63</v>
      </c>
      <c r="C382" s="31">
        <f>IF(C381&lt;=0,"n/a",IF(Assumptions!$C$45*(1-C380/C381)&gt;1,"&gt;100% (never)",Assumptions!$C$45*(1-C380/C381)))</f>
        <v>0.59907961870825854</v>
      </c>
    </row>
    <row r="384" spans="1:23" ht="15" customHeight="1" x14ac:dyDescent="0.2">
      <c r="A384" s="5"/>
      <c r="C384" s="48"/>
    </row>
    <row r="385" spans="1:3" ht="15" customHeight="1" x14ac:dyDescent="0.2">
      <c r="A385" s="5"/>
      <c r="C385" s="48"/>
    </row>
    <row r="386" spans="1:3" ht="15" customHeight="1" x14ac:dyDescent="0.2">
      <c r="A386" s="5"/>
      <c r="C386" s="28"/>
    </row>
    <row r="387" spans="1:3" ht="15" customHeight="1" x14ac:dyDescent="0.2">
      <c r="A387" s="5"/>
      <c r="C387" s="28"/>
    </row>
    <row r="388" spans="1:3" ht="15" customHeight="1" x14ac:dyDescent="0.2">
      <c r="A388" s="5"/>
      <c r="C388" s="48"/>
    </row>
    <row r="389" spans="1:3" ht="15" customHeight="1" x14ac:dyDescent="0.2">
      <c r="A389" s="5"/>
      <c r="C389" s="48"/>
    </row>
    <row r="390" spans="1:3" ht="15" customHeight="1" x14ac:dyDescent="0.2">
      <c r="A390" s="5"/>
      <c r="C390" s="48"/>
    </row>
    <row r="391" spans="1:3" ht="15" customHeight="1" x14ac:dyDescent="0.2">
      <c r="A391" s="5"/>
      <c r="C391" s="48"/>
    </row>
    <row r="392" spans="1:3" ht="15" customHeight="1" x14ac:dyDescent="0.2">
      <c r="A392" s="5"/>
      <c r="C392" s="48"/>
    </row>
    <row r="393" spans="1:3" ht="15" customHeight="1" x14ac:dyDescent="0.2">
      <c r="A393" s="5"/>
      <c r="C393" s="48"/>
    </row>
    <row r="394" spans="1:3" ht="15" customHeight="1" x14ac:dyDescent="0.2">
      <c r="A394" s="5"/>
      <c r="C394" s="48"/>
    </row>
    <row r="395" spans="1:3" ht="15" customHeight="1" x14ac:dyDescent="0.2">
      <c r="A395" s="5"/>
      <c r="C395" s="48"/>
    </row>
    <row r="396" spans="1:3" ht="15" customHeight="1" x14ac:dyDescent="0.2">
      <c r="A396" s="5"/>
      <c r="C396" s="48"/>
    </row>
    <row r="397" spans="1:3" ht="15" customHeight="1" x14ac:dyDescent="0.2">
      <c r="A397" s="5"/>
      <c r="C397" s="48"/>
    </row>
    <row r="398" spans="1:3" ht="15" customHeight="1" x14ac:dyDescent="0.2">
      <c r="A398" s="5"/>
      <c r="C398" s="48"/>
    </row>
    <row r="401" spans="1:23" ht="15" customHeight="1" x14ac:dyDescent="0.2">
      <c r="A401" s="7" t="s">
        <v>2167</v>
      </c>
      <c r="B401" s="4" t="s">
        <v>257</v>
      </c>
    </row>
    <row r="402" spans="1:23" ht="15" customHeight="1" x14ac:dyDescent="0.2">
      <c r="A402" s="4" t="s">
        <v>2137</v>
      </c>
      <c r="C402" s="28">
        <f>ROUND($C$423,0)</f>
        <v>2</v>
      </c>
    </row>
    <row r="403" spans="1:23" ht="15" customHeight="1" x14ac:dyDescent="0.2">
      <c r="A403" s="4" t="s">
        <v>2138</v>
      </c>
      <c r="C403" s="28">
        <f>INDEX(Assumptions!$I$50:$K$54,$C$407,MATCH(Assumptions!$B$4,Assumptions!$D$9:$F$9,0))+Assumptions!$D$46</f>
        <v>0.1134</v>
      </c>
    </row>
    <row r="404" spans="1:23" ht="15" customHeight="1" x14ac:dyDescent="0.2">
      <c r="A404" s="4" t="s">
        <v>2139</v>
      </c>
      <c r="C404" s="28">
        <f>1/(1+$C$403)</f>
        <v>0.89814981138853967</v>
      </c>
    </row>
    <row r="405" spans="1:23" ht="15" customHeight="1" x14ac:dyDescent="0.2">
      <c r="A405" s="4" t="s">
        <v>2140</v>
      </c>
      <c r="C405" s="48">
        <f>IT_load_MW*INDEX(Assumptions!$M$50:$M$54,$C$407,1)*Hours_per_year*INDEX(Assumptions!$C$50:$E$54,$C$407,MATCH(Assumptions!$B$4,Assumptions!$D$9:$F$9,0))*Assumptions!$D$45/Unit_scale</f>
        <v>42.678719999999998</v>
      </c>
    </row>
    <row r="406" spans="1:23" ht="15" customHeight="1" x14ac:dyDescent="0.2">
      <c r="A406" s="4" t="s">
        <v>2141</v>
      </c>
      <c r="C406" s="48">
        <f>IT_load_MW*OM_fixed+Insurance_rate*Calculations!$C$6+INDEX(Assumptions!$O$50:$O$54,$C$407,1)*($C$409+Calculations!$C$6)*(1-Prop_tax_abatement)</f>
        <v>81.142499999999998</v>
      </c>
    </row>
    <row r="407" spans="1:23" ht="15" customHeight="1" x14ac:dyDescent="0.2">
      <c r="A407" s="4" t="s">
        <v>2142</v>
      </c>
      <c r="C407" s="48">
        <f>MATCH($B$401,Assumptions!$B$50:$B$54,0)</f>
        <v>5</v>
      </c>
    </row>
    <row r="408" spans="1:23" ht="15" customHeight="1" x14ac:dyDescent="0.2">
      <c r="A408" s="4" t="s">
        <v>2143</v>
      </c>
      <c r="C408" s="28">
        <f>INDEX(Assumptions!$L$50:$L$54,MATCH($B$401,Assumptions!$B$50:$B$54,0),1)</f>
        <v>0.2</v>
      </c>
    </row>
    <row r="409" spans="1:23" ht="15" customHeight="1" x14ac:dyDescent="0.2">
      <c r="A409" s="4" t="s">
        <v>2144</v>
      </c>
      <c r="C409" s="48">
        <f>IT_load_MW*(Facility_capex_MW+INDEX(Assumptions!$N$50:$N$54,$C$407,1))</f>
        <v>1730</v>
      </c>
    </row>
    <row r="410" spans="1:23" ht="15" customHeight="1" x14ac:dyDescent="0.2">
      <c r="A410" s="4" t="s">
        <v>2145</v>
      </c>
      <c r="C410" s="50">
        <f>Calculations!$C$6</f>
        <v>2520</v>
      </c>
    </row>
    <row r="411" spans="1:23" ht="15" customHeight="1" x14ac:dyDescent="0.2">
      <c r="A411" s="4" t="s">
        <v>2146</v>
      </c>
      <c r="C411" s="48">
        <f>IT_load_MW*Assumptions!$G$12*Hours_per_year*Assumptions!$D$45/Unit_scale*Compute_P0</f>
        <v>2097.1440000000002</v>
      </c>
    </row>
    <row r="412" spans="1:23" ht="15" customHeight="1" x14ac:dyDescent="0.2">
      <c r="A412" s="4" t="s">
        <v>2147</v>
      </c>
      <c r="D412" s="4">
        <f t="shared" ref="D412:W412" si="81">IF(D$3&lt;$C$402,0,IF(D$3&lt;=$C$402+GPU_life-1,1,0))</f>
        <v>0</v>
      </c>
      <c r="E412" s="4">
        <f t="shared" si="81"/>
        <v>0</v>
      </c>
      <c r="F412" s="4">
        <f t="shared" si="81"/>
        <v>1</v>
      </c>
      <c r="G412" s="4">
        <f t="shared" si="81"/>
        <v>1</v>
      </c>
      <c r="H412" s="4">
        <f t="shared" si="81"/>
        <v>1</v>
      </c>
      <c r="I412" s="4">
        <f t="shared" si="81"/>
        <v>1</v>
      </c>
      <c r="J412" s="4">
        <f t="shared" si="81"/>
        <v>1</v>
      </c>
      <c r="K412" s="4">
        <f t="shared" si="81"/>
        <v>0</v>
      </c>
      <c r="L412" s="4">
        <f t="shared" si="81"/>
        <v>0</v>
      </c>
      <c r="M412" s="4">
        <f t="shared" si="81"/>
        <v>0</v>
      </c>
      <c r="N412" s="4">
        <f t="shared" si="81"/>
        <v>0</v>
      </c>
      <c r="O412" s="4">
        <f t="shared" si="81"/>
        <v>0</v>
      </c>
      <c r="P412" s="4">
        <f t="shared" si="81"/>
        <v>0</v>
      </c>
      <c r="Q412" s="4">
        <f t="shared" si="81"/>
        <v>0</v>
      </c>
      <c r="R412" s="4">
        <f t="shared" si="81"/>
        <v>0</v>
      </c>
      <c r="S412" s="4">
        <f t="shared" si="81"/>
        <v>0</v>
      </c>
      <c r="T412" s="4">
        <f t="shared" si="81"/>
        <v>0</v>
      </c>
      <c r="U412" s="4">
        <f t="shared" si="81"/>
        <v>0</v>
      </c>
      <c r="V412" s="4">
        <f t="shared" si="81"/>
        <v>0</v>
      </c>
      <c r="W412" s="4">
        <f t="shared" si="81"/>
        <v>0</v>
      </c>
    </row>
    <row r="413" spans="1:23" ht="15" customHeight="1" x14ac:dyDescent="0.2">
      <c r="A413" s="4" t="s">
        <v>35</v>
      </c>
      <c r="D413" s="4">
        <f t="shared" ref="D413:W413" si="82">--(D412&gt;0)</f>
        <v>0</v>
      </c>
      <c r="E413" s="4">
        <f t="shared" si="82"/>
        <v>0</v>
      </c>
      <c r="F413" s="4">
        <f t="shared" si="82"/>
        <v>1</v>
      </c>
      <c r="G413" s="4">
        <f t="shared" si="82"/>
        <v>1</v>
      </c>
      <c r="H413" s="4">
        <f t="shared" si="82"/>
        <v>1</v>
      </c>
      <c r="I413" s="4">
        <f t="shared" si="82"/>
        <v>1</v>
      </c>
      <c r="J413" s="4">
        <f t="shared" si="82"/>
        <v>1</v>
      </c>
      <c r="K413" s="4">
        <f t="shared" si="82"/>
        <v>0</v>
      </c>
      <c r="L413" s="4">
        <f t="shared" si="82"/>
        <v>0</v>
      </c>
      <c r="M413" s="4">
        <f t="shared" si="82"/>
        <v>0</v>
      </c>
      <c r="N413" s="4">
        <f t="shared" si="82"/>
        <v>0</v>
      </c>
      <c r="O413" s="4">
        <f t="shared" si="82"/>
        <v>0</v>
      </c>
      <c r="P413" s="4">
        <f t="shared" si="82"/>
        <v>0</v>
      </c>
      <c r="Q413" s="4">
        <f t="shared" si="82"/>
        <v>0</v>
      </c>
      <c r="R413" s="4">
        <f t="shared" si="82"/>
        <v>0</v>
      </c>
      <c r="S413" s="4">
        <f t="shared" si="82"/>
        <v>0</v>
      </c>
      <c r="T413" s="4">
        <f t="shared" si="82"/>
        <v>0</v>
      </c>
      <c r="U413" s="4">
        <f t="shared" si="82"/>
        <v>0</v>
      </c>
      <c r="V413" s="4">
        <f t="shared" si="82"/>
        <v>0</v>
      </c>
      <c r="W413" s="4">
        <f t="shared" si="82"/>
        <v>0</v>
      </c>
    </row>
    <row r="414" spans="1:23" ht="15" customHeight="1" x14ac:dyDescent="0.2">
      <c r="A414" s="4" t="s">
        <v>2148</v>
      </c>
      <c r="D414" s="28">
        <f t="shared" ref="D414:W414" si="83">D413*(1-(1-Ramp_yr1)*((D$3-$C$402)=0)-(1-Ramp_yr2)*((D$3-$C$402)=1))</f>
        <v>0</v>
      </c>
      <c r="E414" s="28">
        <f t="shared" si="83"/>
        <v>0</v>
      </c>
      <c r="F414" s="28">
        <f t="shared" si="83"/>
        <v>0.65</v>
      </c>
      <c r="G414" s="28">
        <f t="shared" si="83"/>
        <v>0.85</v>
      </c>
      <c r="H414" s="28">
        <f t="shared" si="83"/>
        <v>1</v>
      </c>
      <c r="I414" s="28">
        <f t="shared" si="83"/>
        <v>1</v>
      </c>
      <c r="J414" s="28">
        <f t="shared" si="83"/>
        <v>1</v>
      </c>
      <c r="K414" s="28">
        <f t="shared" si="83"/>
        <v>0</v>
      </c>
      <c r="L414" s="28">
        <f t="shared" si="83"/>
        <v>0</v>
      </c>
      <c r="M414" s="28">
        <f t="shared" si="83"/>
        <v>0</v>
      </c>
      <c r="N414" s="28">
        <f t="shared" si="83"/>
        <v>0</v>
      </c>
      <c r="O414" s="28">
        <f t="shared" si="83"/>
        <v>0</v>
      </c>
      <c r="P414" s="28">
        <f t="shared" si="83"/>
        <v>0</v>
      </c>
      <c r="Q414" s="28">
        <f t="shared" si="83"/>
        <v>0</v>
      </c>
      <c r="R414" s="28">
        <f t="shared" si="83"/>
        <v>0</v>
      </c>
      <c r="S414" s="28">
        <f t="shared" si="83"/>
        <v>0</v>
      </c>
      <c r="T414" s="28">
        <f t="shared" si="83"/>
        <v>0</v>
      </c>
      <c r="U414" s="28">
        <f t="shared" si="83"/>
        <v>0</v>
      </c>
      <c r="V414" s="28">
        <f t="shared" si="83"/>
        <v>0</v>
      </c>
      <c r="W414" s="28">
        <f t="shared" si="83"/>
        <v>0</v>
      </c>
    </row>
    <row r="415" spans="1:23" ht="15" customHeight="1" x14ac:dyDescent="0.2">
      <c r="A415" s="4" t="s">
        <v>2149</v>
      </c>
      <c r="D415" s="48">
        <f t="shared" ref="D415:W415" si="84">MAX(Price_floor,Compute_P0*(1-Price_decline)^MAX($C$423+D$3-$C$402))</f>
        <v>5.7</v>
      </c>
      <c r="E415" s="48">
        <f t="shared" si="84"/>
        <v>4.5600000000000005</v>
      </c>
      <c r="F415" s="48">
        <f t="shared" si="84"/>
        <v>3.648000000000001</v>
      </c>
      <c r="G415" s="48">
        <f t="shared" si="84"/>
        <v>2.918400000000001</v>
      </c>
      <c r="H415" s="48">
        <f t="shared" si="84"/>
        <v>2.5</v>
      </c>
      <c r="I415" s="48">
        <f t="shared" si="84"/>
        <v>2.5</v>
      </c>
      <c r="J415" s="48">
        <f t="shared" si="84"/>
        <v>2.5</v>
      </c>
      <c r="K415" s="48">
        <f t="shared" si="84"/>
        <v>2.5</v>
      </c>
      <c r="L415" s="48">
        <f t="shared" si="84"/>
        <v>2.5</v>
      </c>
      <c r="M415" s="48">
        <f t="shared" si="84"/>
        <v>2.5</v>
      </c>
      <c r="N415" s="48">
        <f t="shared" si="84"/>
        <v>2.5</v>
      </c>
      <c r="O415" s="48">
        <f t="shared" si="84"/>
        <v>2.5</v>
      </c>
      <c r="P415" s="48">
        <f t="shared" si="84"/>
        <v>2.5</v>
      </c>
      <c r="Q415" s="48">
        <f t="shared" si="84"/>
        <v>2.5</v>
      </c>
      <c r="R415" s="48">
        <f t="shared" si="84"/>
        <v>2.5</v>
      </c>
      <c r="S415" s="48">
        <f t="shared" si="84"/>
        <v>2.5</v>
      </c>
      <c r="T415" s="48">
        <f t="shared" si="84"/>
        <v>2.5</v>
      </c>
      <c r="U415" s="48">
        <f t="shared" si="84"/>
        <v>2.5</v>
      </c>
      <c r="V415" s="48">
        <f t="shared" si="84"/>
        <v>2.5</v>
      </c>
      <c r="W415" s="48">
        <f t="shared" si="84"/>
        <v>2.5</v>
      </c>
    </row>
    <row r="416" spans="1:23" ht="15" customHeight="1" x14ac:dyDescent="0.2">
      <c r="A416" s="4" t="s">
        <v>2150</v>
      </c>
      <c r="D416" s="54">
        <f t="shared" ref="D416:W416" si="85">$C$411*D415/Compute_P0*D414</f>
        <v>0</v>
      </c>
      <c r="E416" s="54">
        <f t="shared" si="85"/>
        <v>0</v>
      </c>
      <c r="F416" s="54">
        <f t="shared" si="85"/>
        <v>872.41190400000039</v>
      </c>
      <c r="G416" s="54">
        <f t="shared" si="85"/>
        <v>912.67706880000026</v>
      </c>
      <c r="H416" s="54">
        <f t="shared" si="85"/>
        <v>919.80000000000007</v>
      </c>
      <c r="I416" s="54">
        <f t="shared" si="85"/>
        <v>919.80000000000007</v>
      </c>
      <c r="J416" s="54">
        <f t="shared" si="85"/>
        <v>919.80000000000007</v>
      </c>
      <c r="K416" s="54">
        <f t="shared" si="85"/>
        <v>0</v>
      </c>
      <c r="L416" s="54">
        <f t="shared" si="85"/>
        <v>0</v>
      </c>
      <c r="M416" s="54">
        <f t="shared" si="85"/>
        <v>0</v>
      </c>
      <c r="N416" s="54">
        <f t="shared" si="85"/>
        <v>0</v>
      </c>
      <c r="O416" s="54">
        <f t="shared" si="85"/>
        <v>0</v>
      </c>
      <c r="P416" s="54">
        <f t="shared" si="85"/>
        <v>0</v>
      </c>
      <c r="Q416" s="54">
        <f t="shared" si="85"/>
        <v>0</v>
      </c>
      <c r="R416" s="54">
        <f t="shared" si="85"/>
        <v>0</v>
      </c>
      <c r="S416" s="54">
        <f t="shared" si="85"/>
        <v>0</v>
      </c>
      <c r="T416" s="54">
        <f t="shared" si="85"/>
        <v>0</v>
      </c>
      <c r="U416" s="54">
        <f t="shared" si="85"/>
        <v>0</v>
      </c>
      <c r="V416" s="54">
        <f t="shared" si="85"/>
        <v>0</v>
      </c>
      <c r="W416" s="54">
        <f t="shared" si="85"/>
        <v>0</v>
      </c>
    </row>
    <row r="417" spans="1:23" ht="15" customHeight="1" x14ac:dyDescent="0.2">
      <c r="A417" s="4" t="s">
        <v>42</v>
      </c>
      <c r="D417" s="54">
        <f t="shared" ref="D417:W417" si="86">D416-$C$405*D414-$C$406*D413</f>
        <v>0</v>
      </c>
      <c r="E417" s="54">
        <f t="shared" si="86"/>
        <v>0</v>
      </c>
      <c r="F417" s="54">
        <f t="shared" si="86"/>
        <v>763.52823600000033</v>
      </c>
      <c r="G417" s="54">
        <f t="shared" si="86"/>
        <v>795.25765680000018</v>
      </c>
      <c r="H417" s="54">
        <f t="shared" si="86"/>
        <v>795.97878000000003</v>
      </c>
      <c r="I417" s="54">
        <f t="shared" si="86"/>
        <v>795.97878000000003</v>
      </c>
      <c r="J417" s="54">
        <f t="shared" si="86"/>
        <v>795.97878000000003</v>
      </c>
      <c r="K417" s="54">
        <f t="shared" si="86"/>
        <v>0</v>
      </c>
      <c r="L417" s="54">
        <f t="shared" si="86"/>
        <v>0</v>
      </c>
      <c r="M417" s="54">
        <f t="shared" si="86"/>
        <v>0</v>
      </c>
      <c r="N417" s="54">
        <f t="shared" si="86"/>
        <v>0</v>
      </c>
      <c r="O417" s="54">
        <f t="shared" si="86"/>
        <v>0</v>
      </c>
      <c r="P417" s="54">
        <f t="shared" si="86"/>
        <v>0</v>
      </c>
      <c r="Q417" s="54">
        <f t="shared" si="86"/>
        <v>0</v>
      </c>
      <c r="R417" s="54">
        <f t="shared" si="86"/>
        <v>0</v>
      </c>
      <c r="S417" s="54">
        <f t="shared" si="86"/>
        <v>0</v>
      </c>
      <c r="T417" s="54">
        <f t="shared" si="86"/>
        <v>0</v>
      </c>
      <c r="U417" s="54">
        <f t="shared" si="86"/>
        <v>0</v>
      </c>
      <c r="V417" s="54">
        <f t="shared" si="86"/>
        <v>0</v>
      </c>
      <c r="W417" s="54">
        <f t="shared" si="86"/>
        <v>0</v>
      </c>
    </row>
    <row r="418" spans="1:23" ht="15" customHeight="1" x14ac:dyDescent="0.2">
      <c r="A418" s="4" t="s">
        <v>2151</v>
      </c>
      <c r="D418" s="54">
        <f>-($C$409*Calculations!$C$15+$C$410/GPU_life)*D413</f>
        <v>0</v>
      </c>
      <c r="E418" s="54">
        <f>-($C$409*Calculations!$C$15+$C$410/GPU_life)*E413</f>
        <v>0</v>
      </c>
      <c r="F418" s="54">
        <f>-($C$409*Calculations!$C$15+$C$410/GPU_life)*F413</f>
        <v>-614.43166666666662</v>
      </c>
      <c r="G418" s="54">
        <f>-($C$409*Calculations!$C$15+$C$410/GPU_life)*G413</f>
        <v>-614.43166666666662</v>
      </c>
      <c r="H418" s="54">
        <f>-($C$409*Calculations!$C$15+$C$410/GPU_life)*H413</f>
        <v>-614.43166666666662</v>
      </c>
      <c r="I418" s="54">
        <f>-($C$409*Calculations!$C$15+$C$410/GPU_life)*I413</f>
        <v>-614.43166666666662</v>
      </c>
      <c r="J418" s="54">
        <f>-($C$409*Calculations!$C$15+$C$410/GPU_life)*J413</f>
        <v>-614.43166666666662</v>
      </c>
      <c r="K418" s="54">
        <f>-($C$409*Calculations!$C$15+$C$410/GPU_life)*K413</f>
        <v>0</v>
      </c>
      <c r="L418" s="54">
        <f>-($C$409*Calculations!$C$15+$C$410/GPU_life)*L413</f>
        <v>0</v>
      </c>
      <c r="M418" s="54">
        <f>-($C$409*Calculations!$C$15+$C$410/GPU_life)*M413</f>
        <v>0</v>
      </c>
      <c r="N418" s="54">
        <f>-($C$409*Calculations!$C$15+$C$410/GPU_life)*N413</f>
        <v>0</v>
      </c>
      <c r="O418" s="54">
        <f>-($C$409*Calculations!$C$15+$C$410/GPU_life)*O413</f>
        <v>0</v>
      </c>
      <c r="P418" s="54">
        <f>-($C$409*Calculations!$C$15+$C$410/GPU_life)*P413</f>
        <v>0</v>
      </c>
      <c r="Q418" s="54">
        <f>-($C$409*Calculations!$C$15+$C$410/GPU_life)*Q413</f>
        <v>0</v>
      </c>
      <c r="R418" s="54">
        <f>-($C$409*Calculations!$C$15+$C$410/GPU_life)*R413</f>
        <v>0</v>
      </c>
      <c r="S418" s="54">
        <f>-($C$409*Calculations!$C$15+$C$410/GPU_life)*S413</f>
        <v>0</v>
      </c>
      <c r="T418" s="54">
        <f>-($C$409*Calculations!$C$15+$C$410/GPU_life)*T413</f>
        <v>0</v>
      </c>
      <c r="U418" s="54">
        <f>-($C$409*Calculations!$C$15+$C$410/GPU_life)*U413</f>
        <v>0</v>
      </c>
      <c r="V418" s="54">
        <f>-($C$409*Calculations!$C$15+$C$410/GPU_life)*V413</f>
        <v>0</v>
      </c>
      <c r="W418" s="54">
        <f>-($C$409*Calculations!$C$15+$C$410/GPU_life)*W413</f>
        <v>0</v>
      </c>
    </row>
    <row r="419" spans="1:23" ht="15" customHeight="1" x14ac:dyDescent="0.2">
      <c r="A419" s="4" t="s">
        <v>2152</v>
      </c>
      <c r="D419" s="54">
        <f t="shared" ref="D419:W419" si="87">-$C$408*MAX(D417+D418,0)</f>
        <v>0</v>
      </c>
      <c r="E419" s="54">
        <f t="shared" si="87"/>
        <v>0</v>
      </c>
      <c r="F419" s="54">
        <f t="shared" si="87"/>
        <v>-29.819313866666747</v>
      </c>
      <c r="G419" s="54">
        <f t="shared" si="87"/>
        <v>-36.165198026666715</v>
      </c>
      <c r="H419" s="54">
        <f t="shared" si="87"/>
        <v>-36.309422666666684</v>
      </c>
      <c r="I419" s="54">
        <f t="shared" si="87"/>
        <v>-36.309422666666684</v>
      </c>
      <c r="J419" s="54">
        <f t="shared" si="87"/>
        <v>-36.309422666666684</v>
      </c>
      <c r="K419" s="54">
        <f t="shared" si="87"/>
        <v>0</v>
      </c>
      <c r="L419" s="54">
        <f t="shared" si="87"/>
        <v>0</v>
      </c>
      <c r="M419" s="54">
        <f t="shared" si="87"/>
        <v>0</v>
      </c>
      <c r="N419" s="54">
        <f t="shared" si="87"/>
        <v>0</v>
      </c>
      <c r="O419" s="54">
        <f t="shared" si="87"/>
        <v>0</v>
      </c>
      <c r="P419" s="54">
        <f t="shared" si="87"/>
        <v>0</v>
      </c>
      <c r="Q419" s="54">
        <f t="shared" si="87"/>
        <v>0</v>
      </c>
      <c r="R419" s="54">
        <f t="shared" si="87"/>
        <v>0</v>
      </c>
      <c r="S419" s="54">
        <f t="shared" si="87"/>
        <v>0</v>
      </c>
      <c r="T419" s="54">
        <f t="shared" si="87"/>
        <v>0</v>
      </c>
      <c r="U419" s="54">
        <f t="shared" si="87"/>
        <v>0</v>
      </c>
      <c r="V419" s="54">
        <f t="shared" si="87"/>
        <v>0</v>
      </c>
      <c r="W419" s="54">
        <f t="shared" si="87"/>
        <v>0</v>
      </c>
    </row>
    <row r="420" spans="1:23" ht="15" customHeight="1" x14ac:dyDescent="0.2">
      <c r="A420" s="4" t="s">
        <v>2153</v>
      </c>
      <c r="D420" s="54">
        <f>D417+D419-$C$409*IF($C$402=0,--(D$3=0),--(D$3&lt;=$C$402-1)/$C$402)-$C$409*Assumptions!$F$38*IF(AND(D$3&gt;=1,D$3&lt;=$C$402),1,0)-$C$410*(D$3=$C$402)+($C$409*Facility_salvage_pct+$C$410*GPU_salvage_pct*(1-$C$408))*(D$3=$C$402+GPU_life-1)</f>
        <v>-865</v>
      </c>
      <c r="E420" s="54">
        <f>E417+E419-$C$409*IF($C$402=0,--(E$3=0),--(E$3&lt;=$C$402-1)/$C$402)-$C$409*Assumptions!$F$38*IF(AND(E$3&gt;=1,E$3&lt;=$C$402),1,0)-$C$410*(E$3=$C$402)+($C$409*Facility_salvage_pct+$C$410*GPU_salvage_pct*(1-$C$408))*(E$3=$C$402+GPU_life-1)</f>
        <v>-890.95</v>
      </c>
      <c r="F420" s="54">
        <f>F417+F419-$C$409*IF($C$402=0,--(F$3=0),--(F$3&lt;=$C$402-1)/$C$402)-$C$409*Assumptions!$F$38*IF(AND(F$3&gt;=1,F$3&lt;=$C$402),1,0)-$C$410*(F$3=$C$402)+($C$409*Facility_salvage_pct+$C$410*GPU_salvage_pct*(1-$C$408))*(F$3=$C$402+GPU_life-1)</f>
        <v>-1812.2410778666665</v>
      </c>
      <c r="G420" s="54">
        <f>G417+G419-$C$409*IF($C$402=0,--(G$3=0),--(G$3&lt;=$C$402-1)/$C$402)-$C$409*Assumptions!$F$38*IF(AND(G$3&gt;=1,G$3&lt;=$C$402),1,0)-$C$410*(G$3=$C$402)+($C$409*Facility_salvage_pct+$C$410*GPU_salvage_pct*(1-$C$408))*(G$3=$C$402+GPU_life-1)</f>
        <v>759.09245877333342</v>
      </c>
      <c r="H420" s="54">
        <f>H417+H419-$C$409*IF($C$402=0,--(H$3=0),--(H$3&lt;=$C$402-1)/$C$402)-$C$409*Assumptions!$F$38*IF(AND(H$3&gt;=1,H$3&lt;=$C$402),1,0)-$C$410*(H$3=$C$402)+($C$409*Facility_salvage_pct+$C$410*GPU_salvage_pct*(1-$C$408))*(H$3=$C$402+GPU_life-1)</f>
        <v>759.66935733333332</v>
      </c>
      <c r="I420" s="54">
        <f>I417+I419-$C$409*IF($C$402=0,--(I$3=0),--(I$3&lt;=$C$402-1)/$C$402)-$C$409*Assumptions!$F$38*IF(AND(I$3&gt;=1,I$3&lt;=$C$402),1,0)-$C$410*(I$3=$C$402)+($C$409*Facility_salvage_pct+$C$410*GPU_salvage_pct*(1-$C$408))*(I$3=$C$402+GPU_life-1)</f>
        <v>759.66935733333332</v>
      </c>
      <c r="J420" s="54">
        <f>J417+J419-$C$409*IF($C$402=0,--(J$3=0),--(J$3&lt;=$C$402-1)/$C$402)-$C$409*Assumptions!$F$38*IF(AND(J$3&gt;=1,J$3&lt;=$C$402),1,0)-$C$410*(J$3=$C$402)+($C$409*Facility_salvage_pct+$C$410*GPU_salvage_pct*(1-$C$408))*(J$3=$C$402+GPU_life-1)</f>
        <v>1739.7693573333333</v>
      </c>
      <c r="K420" s="54">
        <f>K417+K419-$C$409*IF($C$402=0,--(K$3=0),--(K$3&lt;=$C$402-1)/$C$402)-$C$409*Assumptions!$F$38*IF(AND(K$3&gt;=1,K$3&lt;=$C$402),1,0)-$C$410*(K$3=$C$402)+($C$409*Facility_salvage_pct+$C$410*GPU_salvage_pct*(1-$C$408))*(K$3=$C$402+GPU_life-1)</f>
        <v>0</v>
      </c>
      <c r="L420" s="54">
        <f>L417+L419-$C$409*IF($C$402=0,--(L$3=0),--(L$3&lt;=$C$402-1)/$C$402)-$C$409*Assumptions!$F$38*IF(AND(L$3&gt;=1,L$3&lt;=$C$402),1,0)-$C$410*(L$3=$C$402)+($C$409*Facility_salvage_pct+$C$410*GPU_salvage_pct*(1-$C$408))*(L$3=$C$402+GPU_life-1)</f>
        <v>0</v>
      </c>
      <c r="M420" s="54">
        <f>M417+M419-$C$409*IF($C$402=0,--(M$3=0),--(M$3&lt;=$C$402-1)/$C$402)-$C$409*Assumptions!$F$38*IF(AND(M$3&gt;=1,M$3&lt;=$C$402),1,0)-$C$410*(M$3=$C$402)+($C$409*Facility_salvage_pct+$C$410*GPU_salvage_pct*(1-$C$408))*(M$3=$C$402+GPU_life-1)</f>
        <v>0</v>
      </c>
      <c r="N420" s="54">
        <f>N417+N419-$C$409*IF($C$402=0,--(N$3=0),--(N$3&lt;=$C$402-1)/$C$402)-$C$409*Assumptions!$F$38*IF(AND(N$3&gt;=1,N$3&lt;=$C$402),1,0)-$C$410*(N$3=$C$402)+($C$409*Facility_salvage_pct+$C$410*GPU_salvage_pct*(1-$C$408))*(N$3=$C$402+GPU_life-1)</f>
        <v>0</v>
      </c>
      <c r="O420" s="54">
        <f>O417+O419-$C$409*IF($C$402=0,--(O$3=0),--(O$3&lt;=$C$402-1)/$C$402)-$C$409*Assumptions!$F$38*IF(AND(O$3&gt;=1,O$3&lt;=$C$402),1,0)-$C$410*(O$3=$C$402)+($C$409*Facility_salvage_pct+$C$410*GPU_salvage_pct*(1-$C$408))*(O$3=$C$402+GPU_life-1)</f>
        <v>0</v>
      </c>
      <c r="P420" s="54">
        <f>P417+P419-$C$409*IF($C$402=0,--(P$3=0),--(P$3&lt;=$C$402-1)/$C$402)-$C$409*Assumptions!$F$38*IF(AND(P$3&gt;=1,P$3&lt;=$C$402),1,0)-$C$410*(P$3=$C$402)+($C$409*Facility_salvage_pct+$C$410*GPU_salvage_pct*(1-$C$408))*(P$3=$C$402+GPU_life-1)</f>
        <v>0</v>
      </c>
      <c r="Q420" s="54">
        <f>Q417+Q419-$C$409*IF($C$402=0,--(Q$3=0),--(Q$3&lt;=$C$402-1)/$C$402)-$C$409*Assumptions!$F$38*IF(AND(Q$3&gt;=1,Q$3&lt;=$C$402),1,0)-$C$410*(Q$3=$C$402)+($C$409*Facility_salvage_pct+$C$410*GPU_salvage_pct*(1-$C$408))*(Q$3=$C$402+GPU_life-1)</f>
        <v>0</v>
      </c>
      <c r="R420" s="54">
        <f>R417+R419-$C$409*IF($C$402=0,--(R$3=0),--(R$3&lt;=$C$402-1)/$C$402)-$C$409*Assumptions!$F$38*IF(AND(R$3&gt;=1,R$3&lt;=$C$402),1,0)-$C$410*(R$3=$C$402)+($C$409*Facility_salvage_pct+$C$410*GPU_salvage_pct*(1-$C$408))*(R$3=$C$402+GPU_life-1)</f>
        <v>0</v>
      </c>
      <c r="S420" s="54">
        <f>S417+S419-$C$409*IF($C$402=0,--(S$3=0),--(S$3&lt;=$C$402-1)/$C$402)-$C$409*Assumptions!$F$38*IF(AND(S$3&gt;=1,S$3&lt;=$C$402),1,0)-$C$410*(S$3=$C$402)+($C$409*Facility_salvage_pct+$C$410*GPU_salvage_pct*(1-$C$408))*(S$3=$C$402+GPU_life-1)</f>
        <v>0</v>
      </c>
      <c r="T420" s="54">
        <f>T417+T419-$C$409*IF($C$402=0,--(T$3=0),--(T$3&lt;=$C$402-1)/$C$402)-$C$409*Assumptions!$F$38*IF(AND(T$3&gt;=1,T$3&lt;=$C$402),1,0)-$C$410*(T$3=$C$402)+($C$409*Facility_salvage_pct+$C$410*GPU_salvage_pct*(1-$C$408))*(T$3=$C$402+GPU_life-1)</f>
        <v>0</v>
      </c>
      <c r="U420" s="54">
        <f>U417+U419-$C$409*IF($C$402=0,--(U$3=0),--(U$3&lt;=$C$402-1)/$C$402)-$C$409*Assumptions!$F$38*IF(AND(U$3&gt;=1,U$3&lt;=$C$402),1,0)-$C$410*(U$3=$C$402)+($C$409*Facility_salvage_pct+$C$410*GPU_salvage_pct*(1-$C$408))*(U$3=$C$402+GPU_life-1)</f>
        <v>0</v>
      </c>
      <c r="V420" s="54">
        <f>V417+V419-$C$409*IF($C$402=0,--(V$3=0),--(V$3&lt;=$C$402-1)/$C$402)-$C$409*Assumptions!$F$38*IF(AND(V$3&gt;=1,V$3&lt;=$C$402),1,0)-$C$410*(V$3=$C$402)+($C$409*Facility_salvage_pct+$C$410*GPU_salvage_pct*(1-$C$408))*(V$3=$C$402+GPU_life-1)</f>
        <v>0</v>
      </c>
      <c r="W420" s="54">
        <f>W417+W419-$C$409*IF($C$402=0,--(W$3=0),--(W$3&lt;=$C$402-1)/$C$402)-$C$409*Assumptions!$F$38*IF(AND(W$3&gt;=1,W$3&lt;=$C$402),1,0)-$C$410*(W$3=$C$402)+($C$409*Facility_salvage_pct+$C$410*GPU_salvage_pct*(1-$C$408))*(W$3=$C$402+GPU_life-1)</f>
        <v>0</v>
      </c>
    </row>
    <row r="421" spans="1:23" ht="15" customHeight="1" x14ac:dyDescent="0.2">
      <c r="A421" s="4" t="s">
        <v>2154</v>
      </c>
      <c r="D421" s="54">
        <f t="shared" ref="D421:W421" si="88">D420*$C$404^D$3</f>
        <v>-865</v>
      </c>
      <c r="E421" s="54">
        <f t="shared" si="88"/>
        <v>-800.20657445661948</v>
      </c>
      <c r="F421" s="54">
        <f t="shared" si="88"/>
        <v>-1461.8860986855673</v>
      </c>
      <c r="G421" s="54">
        <f t="shared" si="88"/>
        <v>549.97256559190521</v>
      </c>
      <c r="H421" s="54">
        <f t="shared" si="88"/>
        <v>494.33315633076148</v>
      </c>
      <c r="I421" s="54">
        <f t="shared" si="88"/>
        <v>443.98523112157494</v>
      </c>
      <c r="J421" s="54">
        <f t="shared" si="88"/>
        <v>913.23884370285225</v>
      </c>
      <c r="K421" s="54">
        <f t="shared" si="88"/>
        <v>0</v>
      </c>
      <c r="L421" s="54">
        <f t="shared" si="88"/>
        <v>0</v>
      </c>
      <c r="M421" s="54">
        <f t="shared" si="88"/>
        <v>0</v>
      </c>
      <c r="N421" s="54">
        <f t="shared" si="88"/>
        <v>0</v>
      </c>
      <c r="O421" s="54">
        <f t="shared" si="88"/>
        <v>0</v>
      </c>
      <c r="P421" s="54">
        <f t="shared" si="88"/>
        <v>0</v>
      </c>
      <c r="Q421" s="54">
        <f t="shared" si="88"/>
        <v>0</v>
      </c>
      <c r="R421" s="54">
        <f t="shared" si="88"/>
        <v>0</v>
      </c>
      <c r="S421" s="54">
        <f t="shared" si="88"/>
        <v>0</v>
      </c>
      <c r="T421" s="54">
        <f t="shared" si="88"/>
        <v>0</v>
      </c>
      <c r="U421" s="54">
        <f t="shared" si="88"/>
        <v>0</v>
      </c>
      <c r="V421" s="54">
        <f t="shared" si="88"/>
        <v>0</v>
      </c>
      <c r="W421" s="54">
        <f t="shared" si="88"/>
        <v>0</v>
      </c>
    </row>
    <row r="422" spans="1:23" ht="15" customHeight="1" x14ac:dyDescent="0.2">
      <c r="A422" s="4" t="s">
        <v>2155</v>
      </c>
      <c r="D422" s="54">
        <f t="shared" ref="D422:W422" si="89">(D416-$C$405*D414)*(1-$C$408)*$C$404^D$3</f>
        <v>0</v>
      </c>
      <c r="E422" s="54">
        <f t="shared" si="89"/>
        <v>0</v>
      </c>
      <c r="F422" s="54">
        <f t="shared" si="89"/>
        <v>545.09851785437002</v>
      </c>
      <c r="G422" s="54">
        <f t="shared" si="89"/>
        <v>507.97084033671757</v>
      </c>
      <c r="H422" s="54">
        <f t="shared" si="89"/>
        <v>456.60931471482144</v>
      </c>
      <c r="I422" s="54">
        <f t="shared" si="89"/>
        <v>410.10356988936718</v>
      </c>
      <c r="J422" s="54">
        <f t="shared" si="89"/>
        <v>368.33444394590197</v>
      </c>
      <c r="K422" s="54">
        <f t="shared" si="89"/>
        <v>0</v>
      </c>
      <c r="L422" s="54">
        <f t="shared" si="89"/>
        <v>0</v>
      </c>
      <c r="M422" s="54">
        <f t="shared" si="89"/>
        <v>0</v>
      </c>
      <c r="N422" s="54">
        <f t="shared" si="89"/>
        <v>0</v>
      </c>
      <c r="O422" s="54">
        <f t="shared" si="89"/>
        <v>0</v>
      </c>
      <c r="P422" s="54">
        <f t="shared" si="89"/>
        <v>0</v>
      </c>
      <c r="Q422" s="54">
        <f t="shared" si="89"/>
        <v>0</v>
      </c>
      <c r="R422" s="54">
        <f t="shared" si="89"/>
        <v>0</v>
      </c>
      <c r="S422" s="54">
        <f t="shared" si="89"/>
        <v>0</v>
      </c>
      <c r="T422" s="54">
        <f t="shared" si="89"/>
        <v>0</v>
      </c>
      <c r="U422" s="54">
        <f t="shared" si="89"/>
        <v>0</v>
      </c>
      <c r="V422" s="54">
        <f t="shared" si="89"/>
        <v>0</v>
      </c>
      <c r="W422" s="54">
        <f t="shared" si="89"/>
        <v>0</v>
      </c>
    </row>
    <row r="423" spans="1:23" ht="15" customHeight="1" x14ac:dyDescent="0.2">
      <c r="A423" t="s">
        <v>2156</v>
      </c>
      <c r="C423" s="57">
        <f>INDEX(Assumptions!$F$50:$H$54,$C$407,MATCH(Assumptions!$B$4,Assumptions!$D$9:$F$9,0))</f>
        <v>2</v>
      </c>
    </row>
    <row r="424" spans="1:23" ht="15" customHeight="1" x14ac:dyDescent="0.2">
      <c r="A424" s="22" t="s">
        <v>2157</v>
      </c>
      <c r="C424" s="51">
        <f>SUM(D421:W421)</f>
        <v>-725.56287639509299</v>
      </c>
    </row>
    <row r="425" spans="1:23" ht="15" customHeight="1" x14ac:dyDescent="0.2">
      <c r="A425" s="4" t="s">
        <v>2158</v>
      </c>
      <c r="C425" s="48">
        <f>SUM(D422:W422)</f>
        <v>2288.1166867411785</v>
      </c>
    </row>
    <row r="426" spans="1:23" ht="15" customHeight="1" x14ac:dyDescent="0.2">
      <c r="A426" s="4" t="s">
        <v>63</v>
      </c>
      <c r="C426" s="31">
        <f>IF(C425&lt;=0,"n/a",IF(Assumptions!$D$45*(1-C424/C425)&gt;1,"&gt;100% (never)",Assumptions!$D$45*(1-C424/C425)))</f>
        <v>0.92197032888210206</v>
      </c>
    </row>
    <row r="428" spans="1:23" ht="15" customHeight="1" x14ac:dyDescent="0.2">
      <c r="A428" s="5"/>
      <c r="C428" s="48"/>
    </row>
    <row r="429" spans="1:23" ht="15" customHeight="1" x14ac:dyDescent="0.2">
      <c r="A429" s="5"/>
      <c r="C429" s="48"/>
    </row>
    <row r="430" spans="1:23" ht="15" customHeight="1" x14ac:dyDescent="0.2">
      <c r="A430" s="5"/>
      <c r="C430" s="28"/>
    </row>
    <row r="431" spans="1:23" ht="15" customHeight="1" x14ac:dyDescent="0.2">
      <c r="A431" s="5"/>
      <c r="C431" s="28"/>
    </row>
    <row r="432" spans="1:23" ht="15" customHeight="1" x14ac:dyDescent="0.2">
      <c r="A432" s="5"/>
      <c r="C432" s="48"/>
    </row>
    <row r="433" spans="1:3" ht="15" customHeight="1" x14ac:dyDescent="0.2">
      <c r="A433" s="5"/>
      <c r="C433" s="48"/>
    </row>
    <row r="434" spans="1:3" ht="15" customHeight="1" x14ac:dyDescent="0.2">
      <c r="A434" s="5"/>
      <c r="C434" s="48"/>
    </row>
    <row r="435" spans="1:3" ht="15" customHeight="1" x14ac:dyDescent="0.2">
      <c r="A435" s="5"/>
      <c r="C435" s="48"/>
    </row>
    <row r="436" spans="1:3" ht="15" customHeight="1" x14ac:dyDescent="0.2">
      <c r="A436" s="5"/>
      <c r="C436" s="48"/>
    </row>
    <row r="437" spans="1:3" ht="15" customHeight="1" x14ac:dyDescent="0.2">
      <c r="A437" s="5"/>
      <c r="C437" s="48"/>
    </row>
    <row r="438" spans="1:3" ht="15" customHeight="1" x14ac:dyDescent="0.2">
      <c r="A438" s="5"/>
      <c r="C438" s="48"/>
    </row>
    <row r="439" spans="1:3" ht="15" customHeight="1" x14ac:dyDescent="0.2">
      <c r="A439" s="5"/>
      <c r="C439" s="48"/>
    </row>
    <row r="440" spans="1:3" ht="15" customHeight="1" x14ac:dyDescent="0.2">
      <c r="A440" s="5"/>
      <c r="C440" s="48"/>
    </row>
    <row r="441" spans="1:3" ht="15" customHeight="1" x14ac:dyDescent="0.2">
      <c r="A441" s="5"/>
      <c r="C441" s="48"/>
    </row>
    <row r="442" spans="1:3" ht="15" customHeight="1" x14ac:dyDescent="0.2">
      <c r="A442" s="5"/>
      <c r="C442" s="48"/>
    </row>
    <row r="445" spans="1:3" ht="15" customHeight="1" x14ac:dyDescent="0.2">
      <c r="A445" s="7" t="s">
        <v>2168</v>
      </c>
      <c r="B445" s="4" t="s">
        <v>237</v>
      </c>
    </row>
    <row r="446" spans="1:3" ht="15" customHeight="1" x14ac:dyDescent="0.2">
      <c r="A446" s="4" t="s">
        <v>2137</v>
      </c>
      <c r="C446" s="28">
        <f>ROUND($C$467,0)</f>
        <v>0</v>
      </c>
    </row>
    <row r="447" spans="1:3" ht="15" customHeight="1" x14ac:dyDescent="0.2">
      <c r="A447" s="4" t="s">
        <v>2138</v>
      </c>
      <c r="C447" s="28">
        <f>INDEX(Assumptions!$I$50:$K$54,$C$451,MATCH(Assumptions!$B$4,Assumptions!$D$9:$F$9,0))+Deal_WACC_premium</f>
        <v>6.3399999999999998E-2</v>
      </c>
    </row>
    <row r="448" spans="1:3" ht="15" customHeight="1" x14ac:dyDescent="0.2">
      <c r="A448" s="4" t="s">
        <v>2139</v>
      </c>
      <c r="C448" s="28">
        <f>1/(1+$C$447)</f>
        <v>0.94037991348504801</v>
      </c>
    </row>
    <row r="449" spans="1:23" ht="15" customHeight="1" x14ac:dyDescent="0.2">
      <c r="A449" s="4" t="s">
        <v>2140</v>
      </c>
      <c r="C449" s="48">
        <f>IT_load_MW*INDEX(Assumptions!$M$50:$M$54,$C$451,1)*Hours_per_year*INDEX(Assumptions!$C$50:$E$54,$C$451,MATCH(Assumptions!$B$4,Assumptions!$D$9:$F$9,0))*Paid_occupancy/Unit_scale</f>
        <v>46.098623999999994</v>
      </c>
    </row>
    <row r="450" spans="1:23" ht="15" customHeight="1" x14ac:dyDescent="0.2">
      <c r="A450" s="4" t="s">
        <v>2141</v>
      </c>
      <c r="C450" s="48">
        <f>IT_load_MW*OM_fixed+Insurance_rate*Calculations!$C$6+INDEX(Assumptions!$O$50:$O$54,$C$451,1)*($C$453+Calculations!$C$6)*(1-Prop_tax_abatement)</f>
        <v>86.47</v>
      </c>
    </row>
    <row r="451" spans="1:23" ht="15" customHeight="1" x14ac:dyDescent="0.2">
      <c r="A451" s="4" t="s">
        <v>2142</v>
      </c>
      <c r="C451" s="48">
        <f>MATCH($B$445,Assumptions!$B$50:$B$54,0)</f>
        <v>1</v>
      </c>
    </row>
    <row r="452" spans="1:23" ht="15" customHeight="1" x14ac:dyDescent="0.2">
      <c r="A452" s="4" t="s">
        <v>2143</v>
      </c>
      <c r="C452" s="28">
        <f>INDEX(Assumptions!$L$50:$L$54,MATCH($B$445,Assumptions!$B$50:$B$54,0),1)</f>
        <v>0.22</v>
      </c>
    </row>
    <row r="453" spans="1:23" ht="15" customHeight="1" x14ac:dyDescent="0.2">
      <c r="A453" s="4" t="s">
        <v>2144</v>
      </c>
      <c r="C453" s="48">
        <f>IT_load_MW*(Facility_capex_MW+INDEX(Assumptions!$N$50:$N$54,$C$451,1))</f>
        <v>1739.9999999999998</v>
      </c>
    </row>
    <row r="454" spans="1:23" ht="15" customHeight="1" x14ac:dyDescent="0.2">
      <c r="A454" s="4" t="s">
        <v>2145</v>
      </c>
      <c r="C454" s="50">
        <f>Calculations!$C$6</f>
        <v>2520</v>
      </c>
    </row>
    <row r="455" spans="1:23" ht="15" customHeight="1" x14ac:dyDescent="0.2">
      <c r="A455" s="4" t="s">
        <v>2146</v>
      </c>
      <c r="C455" s="48">
        <f>IT_load_MW*Assumptions!$G$12*Hours_per_year*Paid_occupancy/Unit_scale*Compute_P0</f>
        <v>2636.4096000000004</v>
      </c>
    </row>
    <row r="456" spans="1:23" ht="15" customHeight="1" x14ac:dyDescent="0.2">
      <c r="A456" s="4" t="s">
        <v>2147</v>
      </c>
      <c r="D456" s="4">
        <f t="shared" ref="D456:W456" si="90">IF(D$3&lt;$C$446,0,IF(D$3&lt;=$C$446+GPU_life-1,1,0))</f>
        <v>1</v>
      </c>
      <c r="E456" s="4">
        <f t="shared" si="90"/>
        <v>1</v>
      </c>
      <c r="F456" s="4">
        <f t="shared" si="90"/>
        <v>1</v>
      </c>
      <c r="G456" s="4">
        <f t="shared" si="90"/>
        <v>1</v>
      </c>
      <c r="H456" s="4">
        <f t="shared" si="90"/>
        <v>1</v>
      </c>
      <c r="I456" s="4">
        <f t="shared" si="90"/>
        <v>0</v>
      </c>
      <c r="J456" s="4">
        <f t="shared" si="90"/>
        <v>0</v>
      </c>
      <c r="K456" s="4">
        <f t="shared" si="90"/>
        <v>0</v>
      </c>
      <c r="L456" s="4">
        <f t="shared" si="90"/>
        <v>0</v>
      </c>
      <c r="M456" s="4">
        <f t="shared" si="90"/>
        <v>0</v>
      </c>
      <c r="N456" s="4">
        <f t="shared" si="90"/>
        <v>0</v>
      </c>
      <c r="O456" s="4">
        <f t="shared" si="90"/>
        <v>0</v>
      </c>
      <c r="P456" s="4">
        <f t="shared" si="90"/>
        <v>0</v>
      </c>
      <c r="Q456" s="4">
        <f t="shared" si="90"/>
        <v>0</v>
      </c>
      <c r="R456" s="4">
        <f t="shared" si="90"/>
        <v>0</v>
      </c>
      <c r="S456" s="4">
        <f t="shared" si="90"/>
        <v>0</v>
      </c>
      <c r="T456" s="4">
        <f t="shared" si="90"/>
        <v>0</v>
      </c>
      <c r="U456" s="4">
        <f t="shared" si="90"/>
        <v>0</v>
      </c>
      <c r="V456" s="4">
        <f t="shared" si="90"/>
        <v>0</v>
      </c>
      <c r="W456" s="4">
        <f t="shared" si="90"/>
        <v>0</v>
      </c>
    </row>
    <row r="457" spans="1:23" ht="15" customHeight="1" x14ac:dyDescent="0.2">
      <c r="A457" s="4" t="s">
        <v>35</v>
      </c>
      <c r="D457" s="4">
        <f t="shared" ref="D457:W457" si="91">--(D456&gt;0)</f>
        <v>1</v>
      </c>
      <c r="E457" s="4">
        <f t="shared" si="91"/>
        <v>1</v>
      </c>
      <c r="F457" s="4">
        <f t="shared" si="91"/>
        <v>1</v>
      </c>
      <c r="G457" s="4">
        <f t="shared" si="91"/>
        <v>1</v>
      </c>
      <c r="H457" s="4">
        <f t="shared" si="91"/>
        <v>1</v>
      </c>
      <c r="I457" s="4">
        <f t="shared" si="91"/>
        <v>0</v>
      </c>
      <c r="J457" s="4">
        <f t="shared" si="91"/>
        <v>0</v>
      </c>
      <c r="K457" s="4">
        <f t="shared" si="91"/>
        <v>0</v>
      </c>
      <c r="L457" s="4">
        <f t="shared" si="91"/>
        <v>0</v>
      </c>
      <c r="M457" s="4">
        <f t="shared" si="91"/>
        <v>0</v>
      </c>
      <c r="N457" s="4">
        <f t="shared" si="91"/>
        <v>0</v>
      </c>
      <c r="O457" s="4">
        <f t="shared" si="91"/>
        <v>0</v>
      </c>
      <c r="P457" s="4">
        <f t="shared" si="91"/>
        <v>0</v>
      </c>
      <c r="Q457" s="4">
        <f t="shared" si="91"/>
        <v>0</v>
      </c>
      <c r="R457" s="4">
        <f t="shared" si="91"/>
        <v>0</v>
      </c>
      <c r="S457" s="4">
        <f t="shared" si="91"/>
        <v>0</v>
      </c>
      <c r="T457" s="4">
        <f t="shared" si="91"/>
        <v>0</v>
      </c>
      <c r="U457" s="4">
        <f t="shared" si="91"/>
        <v>0</v>
      </c>
      <c r="V457" s="4">
        <f t="shared" si="91"/>
        <v>0</v>
      </c>
      <c r="W457" s="4">
        <f t="shared" si="91"/>
        <v>0</v>
      </c>
    </row>
    <row r="458" spans="1:23" ht="15" customHeight="1" x14ac:dyDescent="0.2">
      <c r="A458" s="4" t="s">
        <v>2148</v>
      </c>
      <c r="D458" s="28">
        <f t="shared" ref="D458:W458" si="92">D457*(1-(1-Ramp_yr1)*((D$3-$C$446)=0)-(1-Ramp_yr2)*((D$3-$C$446)=1))</f>
        <v>0.65</v>
      </c>
      <c r="E458" s="28">
        <f t="shared" si="92"/>
        <v>0.85</v>
      </c>
      <c r="F458" s="28">
        <f t="shared" si="92"/>
        <v>1</v>
      </c>
      <c r="G458" s="28">
        <f t="shared" si="92"/>
        <v>1</v>
      </c>
      <c r="H458" s="28">
        <f t="shared" si="92"/>
        <v>1</v>
      </c>
      <c r="I458" s="28">
        <f t="shared" si="92"/>
        <v>0</v>
      </c>
      <c r="J458" s="28">
        <f t="shared" si="92"/>
        <v>0</v>
      </c>
      <c r="K458" s="28">
        <f t="shared" si="92"/>
        <v>0</v>
      </c>
      <c r="L458" s="28">
        <f t="shared" si="92"/>
        <v>0</v>
      </c>
      <c r="M458" s="28">
        <f t="shared" si="92"/>
        <v>0</v>
      </c>
      <c r="N458" s="28">
        <f t="shared" si="92"/>
        <v>0</v>
      </c>
      <c r="O458" s="28">
        <f t="shared" si="92"/>
        <v>0</v>
      </c>
      <c r="P458" s="28">
        <f t="shared" si="92"/>
        <v>0</v>
      </c>
      <c r="Q458" s="28">
        <f t="shared" si="92"/>
        <v>0</v>
      </c>
      <c r="R458" s="28">
        <f t="shared" si="92"/>
        <v>0</v>
      </c>
      <c r="S458" s="28">
        <f t="shared" si="92"/>
        <v>0</v>
      </c>
      <c r="T458" s="28">
        <f t="shared" si="92"/>
        <v>0</v>
      </c>
      <c r="U458" s="28">
        <f t="shared" si="92"/>
        <v>0</v>
      </c>
      <c r="V458" s="28">
        <f t="shared" si="92"/>
        <v>0</v>
      </c>
      <c r="W458" s="28">
        <f t="shared" si="92"/>
        <v>0</v>
      </c>
    </row>
    <row r="459" spans="1:23" ht="15" customHeight="1" x14ac:dyDescent="0.2">
      <c r="A459" s="4" t="s">
        <v>2149</v>
      </c>
      <c r="D459" s="48">
        <f>IF(Assumptions!$B$7="Contracted",MAX(Price_floor,Compute_P0*(1-Price_decline)^$C$467),MAX(Price_floor,Compute_P0*(1-Price_decline)^MAX($C$467+D$3-$C$446)))</f>
        <v>5.7</v>
      </c>
      <c r="E459" s="48">
        <f>IF(Assumptions!$B$7="Contracted",MAX(Price_floor,Compute_P0*(1-Price_decline)^$C$467),MAX(Price_floor,Compute_P0*(1-Price_decline)^MAX($C$467+E$3-$C$446)))</f>
        <v>5.7</v>
      </c>
      <c r="F459" s="48">
        <f>IF(Assumptions!$B$7="Contracted",MAX(Price_floor,Compute_P0*(1-Price_decline)^$C$467),MAX(Price_floor,Compute_P0*(1-Price_decline)^MAX($C$467+F$3-$C$446)))</f>
        <v>5.7</v>
      </c>
      <c r="G459" s="48">
        <f>IF(Assumptions!$B$7="Contracted",MAX(Price_floor,Compute_P0*(1-Price_decline)^$C$467),MAX(Price_floor,Compute_P0*(1-Price_decline)^MAX($C$467+G$3-$C$446)))</f>
        <v>5.7</v>
      </c>
      <c r="H459" s="48">
        <f>IF(Assumptions!$B$7="Contracted",MAX(Price_floor,Compute_P0*(1-Price_decline)^$C$467),MAX(Price_floor,Compute_P0*(1-Price_decline)^MAX($C$467+H$3-$C$446)))</f>
        <v>5.7</v>
      </c>
      <c r="I459" s="48">
        <f>IF(Assumptions!$B$7="Contracted",MAX(Price_floor,Compute_P0*(1-Price_decline)^$C$467),MAX(Price_floor,Compute_P0*(1-Price_decline)^MAX($C$467+I$3-$C$446)))</f>
        <v>5.7</v>
      </c>
      <c r="J459" s="48">
        <f>IF(Assumptions!$B$7="Contracted",MAX(Price_floor,Compute_P0*(1-Price_decline)^$C$467),MAX(Price_floor,Compute_P0*(1-Price_decline)^MAX($C$467+J$3-$C$446)))</f>
        <v>5.7</v>
      </c>
      <c r="K459" s="48">
        <f>IF(Assumptions!$B$7="Contracted",MAX(Price_floor,Compute_P0*(1-Price_decline)^$C$467),MAX(Price_floor,Compute_P0*(1-Price_decline)^MAX($C$467+K$3-$C$446)))</f>
        <v>5.7</v>
      </c>
      <c r="L459" s="48">
        <f>IF(Assumptions!$B$7="Contracted",MAX(Price_floor,Compute_P0*(1-Price_decline)^$C$467),MAX(Price_floor,Compute_P0*(1-Price_decline)^MAX($C$467+L$3-$C$446)))</f>
        <v>5.7</v>
      </c>
      <c r="M459" s="48">
        <f>IF(Assumptions!$B$7="Contracted",MAX(Price_floor,Compute_P0*(1-Price_decline)^$C$467),MAX(Price_floor,Compute_P0*(1-Price_decline)^MAX($C$467+M$3-$C$446)))</f>
        <v>5.7</v>
      </c>
      <c r="N459" s="48">
        <f>IF(Assumptions!$B$7="Contracted",MAX(Price_floor,Compute_P0*(1-Price_decline)^$C$467),MAX(Price_floor,Compute_P0*(1-Price_decline)^MAX($C$467+N$3-$C$446)))</f>
        <v>5.7</v>
      </c>
      <c r="O459" s="48">
        <f>IF(Assumptions!$B$7="Contracted",MAX(Price_floor,Compute_P0*(1-Price_decline)^$C$467),MAX(Price_floor,Compute_P0*(1-Price_decline)^MAX($C$467+O$3-$C$446)))</f>
        <v>5.7</v>
      </c>
      <c r="P459" s="48">
        <f>IF(Assumptions!$B$7="Contracted",MAX(Price_floor,Compute_P0*(1-Price_decline)^$C$467),MAX(Price_floor,Compute_P0*(1-Price_decline)^MAX($C$467+P$3-$C$446)))</f>
        <v>5.7</v>
      </c>
      <c r="Q459" s="48">
        <f>IF(Assumptions!$B$7="Contracted",MAX(Price_floor,Compute_P0*(1-Price_decline)^$C$467),MAX(Price_floor,Compute_P0*(1-Price_decline)^MAX($C$467+Q$3-$C$446)))</f>
        <v>5.7</v>
      </c>
      <c r="R459" s="48">
        <f>IF(Assumptions!$B$7="Contracted",MAX(Price_floor,Compute_P0*(1-Price_decline)^$C$467),MAX(Price_floor,Compute_P0*(1-Price_decline)^MAX($C$467+R$3-$C$446)))</f>
        <v>5.7</v>
      </c>
      <c r="S459" s="48">
        <f>IF(Assumptions!$B$7="Contracted",MAX(Price_floor,Compute_P0*(1-Price_decline)^$C$467),MAX(Price_floor,Compute_P0*(1-Price_decline)^MAX($C$467+S$3-$C$446)))</f>
        <v>5.7</v>
      </c>
      <c r="T459" s="48">
        <f>IF(Assumptions!$B$7="Contracted",MAX(Price_floor,Compute_P0*(1-Price_decline)^$C$467),MAX(Price_floor,Compute_P0*(1-Price_decline)^MAX($C$467+T$3-$C$446)))</f>
        <v>5.7</v>
      </c>
      <c r="U459" s="48">
        <f>IF(Assumptions!$B$7="Contracted",MAX(Price_floor,Compute_P0*(1-Price_decline)^$C$467),MAX(Price_floor,Compute_P0*(1-Price_decline)^MAX($C$467+U$3-$C$446)))</f>
        <v>5.7</v>
      </c>
      <c r="V459" s="48">
        <f>IF(Assumptions!$B$7="Contracted",MAX(Price_floor,Compute_P0*(1-Price_decline)^$C$467),MAX(Price_floor,Compute_P0*(1-Price_decline)^MAX($C$467+V$3-$C$446)))</f>
        <v>5.7</v>
      </c>
      <c r="W459" s="48">
        <f>IF(Assumptions!$B$7="Contracted",MAX(Price_floor,Compute_P0*(1-Price_decline)^$C$467),MAX(Price_floor,Compute_P0*(1-Price_decline)^MAX($C$467+W$3-$C$446)))</f>
        <v>5.7</v>
      </c>
    </row>
    <row r="460" spans="1:23" ht="15" customHeight="1" x14ac:dyDescent="0.2">
      <c r="A460" s="4" t="s">
        <v>2150</v>
      </c>
      <c r="D460" s="54">
        <f t="shared" ref="D460:W460" si="93">$C$455*D459/Compute_P0*D458</f>
        <v>1713.6662400000002</v>
      </c>
      <c r="E460" s="54">
        <f t="shared" si="93"/>
        <v>2240.9481600000004</v>
      </c>
      <c r="F460" s="54">
        <f t="shared" si="93"/>
        <v>2636.4096000000004</v>
      </c>
      <c r="G460" s="54">
        <f t="shared" si="93"/>
        <v>2636.4096000000004</v>
      </c>
      <c r="H460" s="54">
        <f t="shared" si="93"/>
        <v>2636.4096000000004</v>
      </c>
      <c r="I460" s="54">
        <f t="shared" si="93"/>
        <v>0</v>
      </c>
      <c r="J460" s="54">
        <f t="shared" si="93"/>
        <v>0</v>
      </c>
      <c r="K460" s="54">
        <f t="shared" si="93"/>
        <v>0</v>
      </c>
      <c r="L460" s="54">
        <f t="shared" si="93"/>
        <v>0</v>
      </c>
      <c r="M460" s="54">
        <f t="shared" si="93"/>
        <v>0</v>
      </c>
      <c r="N460" s="54">
        <f t="shared" si="93"/>
        <v>0</v>
      </c>
      <c r="O460" s="54">
        <f t="shared" si="93"/>
        <v>0</v>
      </c>
      <c r="P460" s="54">
        <f t="shared" si="93"/>
        <v>0</v>
      </c>
      <c r="Q460" s="54">
        <f t="shared" si="93"/>
        <v>0</v>
      </c>
      <c r="R460" s="54">
        <f t="shared" si="93"/>
        <v>0</v>
      </c>
      <c r="S460" s="54">
        <f t="shared" si="93"/>
        <v>0</v>
      </c>
      <c r="T460" s="54">
        <f t="shared" si="93"/>
        <v>0</v>
      </c>
      <c r="U460" s="54">
        <f t="shared" si="93"/>
        <v>0</v>
      </c>
      <c r="V460" s="54">
        <f t="shared" si="93"/>
        <v>0</v>
      </c>
      <c r="W460" s="54">
        <f t="shared" si="93"/>
        <v>0</v>
      </c>
    </row>
    <row r="461" spans="1:23" ht="15" customHeight="1" x14ac:dyDescent="0.2">
      <c r="A461" s="4" t="s">
        <v>42</v>
      </c>
      <c r="D461" s="54">
        <f t="shared" ref="D461:W461" si="94">D460-$C$449*D458-$C$450*D457</f>
        <v>1597.2321344000002</v>
      </c>
      <c r="E461" s="54">
        <f t="shared" si="94"/>
        <v>2115.2943296000008</v>
      </c>
      <c r="F461" s="54">
        <f t="shared" si="94"/>
        <v>2503.8409760000004</v>
      </c>
      <c r="G461" s="54">
        <f t="shared" si="94"/>
        <v>2503.8409760000004</v>
      </c>
      <c r="H461" s="54">
        <f t="shared" si="94"/>
        <v>2503.8409760000004</v>
      </c>
      <c r="I461" s="54">
        <f t="shared" si="94"/>
        <v>0</v>
      </c>
      <c r="J461" s="54">
        <f t="shared" si="94"/>
        <v>0</v>
      </c>
      <c r="K461" s="54">
        <f t="shared" si="94"/>
        <v>0</v>
      </c>
      <c r="L461" s="54">
        <f t="shared" si="94"/>
        <v>0</v>
      </c>
      <c r="M461" s="54">
        <f t="shared" si="94"/>
        <v>0</v>
      </c>
      <c r="N461" s="54">
        <f t="shared" si="94"/>
        <v>0</v>
      </c>
      <c r="O461" s="54">
        <f t="shared" si="94"/>
        <v>0</v>
      </c>
      <c r="P461" s="54">
        <f t="shared" si="94"/>
        <v>0</v>
      </c>
      <c r="Q461" s="54">
        <f t="shared" si="94"/>
        <v>0</v>
      </c>
      <c r="R461" s="54">
        <f t="shared" si="94"/>
        <v>0</v>
      </c>
      <c r="S461" s="54">
        <f t="shared" si="94"/>
        <v>0</v>
      </c>
      <c r="T461" s="54">
        <f t="shared" si="94"/>
        <v>0</v>
      </c>
      <c r="U461" s="54">
        <f t="shared" si="94"/>
        <v>0</v>
      </c>
      <c r="V461" s="54">
        <f t="shared" si="94"/>
        <v>0</v>
      </c>
      <c r="W461" s="54">
        <f t="shared" si="94"/>
        <v>0</v>
      </c>
    </row>
    <row r="462" spans="1:23" ht="15" customHeight="1" x14ac:dyDescent="0.2">
      <c r="A462" s="4" t="s">
        <v>2151</v>
      </c>
      <c r="D462" s="54">
        <f>-($C$453*Calculations!$C$15+$C$454/GPU_life)*D457</f>
        <v>-615.06999999999994</v>
      </c>
      <c r="E462" s="54">
        <f>-($C$453*Calculations!$C$15+$C$454/GPU_life)*E457</f>
        <v>-615.06999999999994</v>
      </c>
      <c r="F462" s="54">
        <f>-($C$453*Calculations!$C$15+$C$454/GPU_life)*F457</f>
        <v>-615.06999999999994</v>
      </c>
      <c r="G462" s="54">
        <f>-($C$453*Calculations!$C$15+$C$454/GPU_life)*G457</f>
        <v>-615.06999999999994</v>
      </c>
      <c r="H462" s="54">
        <f>-($C$453*Calculations!$C$15+$C$454/GPU_life)*H457</f>
        <v>-615.06999999999994</v>
      </c>
      <c r="I462" s="54">
        <f>-($C$453*Calculations!$C$15+$C$454/GPU_life)*I457</f>
        <v>0</v>
      </c>
      <c r="J462" s="54">
        <f>-($C$453*Calculations!$C$15+$C$454/GPU_life)*J457</f>
        <v>0</v>
      </c>
      <c r="K462" s="54">
        <f>-($C$453*Calculations!$C$15+$C$454/GPU_life)*K457</f>
        <v>0</v>
      </c>
      <c r="L462" s="54">
        <f>-($C$453*Calculations!$C$15+$C$454/GPU_life)*L457</f>
        <v>0</v>
      </c>
      <c r="M462" s="54">
        <f>-($C$453*Calculations!$C$15+$C$454/GPU_life)*M457</f>
        <v>0</v>
      </c>
      <c r="N462" s="54">
        <f>-($C$453*Calculations!$C$15+$C$454/GPU_life)*N457</f>
        <v>0</v>
      </c>
      <c r="O462" s="54">
        <f>-($C$453*Calculations!$C$15+$C$454/GPU_life)*O457</f>
        <v>0</v>
      </c>
      <c r="P462" s="54">
        <f>-($C$453*Calculations!$C$15+$C$454/GPU_life)*P457</f>
        <v>0</v>
      </c>
      <c r="Q462" s="54">
        <f>-($C$453*Calculations!$C$15+$C$454/GPU_life)*Q457</f>
        <v>0</v>
      </c>
      <c r="R462" s="54">
        <f>-($C$453*Calculations!$C$15+$C$454/GPU_life)*R457</f>
        <v>0</v>
      </c>
      <c r="S462" s="54">
        <f>-($C$453*Calculations!$C$15+$C$454/GPU_life)*S457</f>
        <v>0</v>
      </c>
      <c r="T462" s="54">
        <f>-($C$453*Calculations!$C$15+$C$454/GPU_life)*T457</f>
        <v>0</v>
      </c>
      <c r="U462" s="54">
        <f>-($C$453*Calculations!$C$15+$C$454/GPU_life)*U457</f>
        <v>0</v>
      </c>
      <c r="V462" s="54">
        <f>-($C$453*Calculations!$C$15+$C$454/GPU_life)*V457</f>
        <v>0</v>
      </c>
      <c r="W462" s="54">
        <f>-($C$453*Calculations!$C$15+$C$454/GPU_life)*W457</f>
        <v>0</v>
      </c>
    </row>
    <row r="463" spans="1:23" ht="15" customHeight="1" x14ac:dyDescent="0.2">
      <c r="A463" s="4" t="s">
        <v>2152</v>
      </c>
      <c r="D463" s="54">
        <f t="shared" ref="D463:W463" si="95">-$C$452*MAX(D461+D462,0)</f>
        <v>-216.07566956800005</v>
      </c>
      <c r="E463" s="54">
        <f t="shared" si="95"/>
        <v>-330.04935251200021</v>
      </c>
      <c r="F463" s="54">
        <f t="shared" si="95"/>
        <v>-415.5296147200001</v>
      </c>
      <c r="G463" s="54">
        <f t="shared" si="95"/>
        <v>-415.5296147200001</v>
      </c>
      <c r="H463" s="54">
        <f t="shared" si="95"/>
        <v>-415.5296147200001</v>
      </c>
      <c r="I463" s="54">
        <f t="shared" si="95"/>
        <v>0</v>
      </c>
      <c r="J463" s="54">
        <f t="shared" si="95"/>
        <v>0</v>
      </c>
      <c r="K463" s="54">
        <f t="shared" si="95"/>
        <v>0</v>
      </c>
      <c r="L463" s="54">
        <f t="shared" si="95"/>
        <v>0</v>
      </c>
      <c r="M463" s="54">
        <f t="shared" si="95"/>
        <v>0</v>
      </c>
      <c r="N463" s="54">
        <f t="shared" si="95"/>
        <v>0</v>
      </c>
      <c r="O463" s="54">
        <f t="shared" si="95"/>
        <v>0</v>
      </c>
      <c r="P463" s="54">
        <f t="shared" si="95"/>
        <v>0</v>
      </c>
      <c r="Q463" s="54">
        <f t="shared" si="95"/>
        <v>0</v>
      </c>
      <c r="R463" s="54">
        <f t="shared" si="95"/>
        <v>0</v>
      </c>
      <c r="S463" s="54">
        <f t="shared" si="95"/>
        <v>0</v>
      </c>
      <c r="T463" s="54">
        <f t="shared" si="95"/>
        <v>0</v>
      </c>
      <c r="U463" s="54">
        <f t="shared" si="95"/>
        <v>0</v>
      </c>
      <c r="V463" s="54">
        <f t="shared" si="95"/>
        <v>0</v>
      </c>
      <c r="W463" s="54">
        <f t="shared" si="95"/>
        <v>0</v>
      </c>
    </row>
    <row r="464" spans="1:23" ht="15" customHeight="1" x14ac:dyDescent="0.2">
      <c r="A464" s="4" t="s">
        <v>2153</v>
      </c>
      <c r="D464" s="54">
        <f>D461+D463-$C$453*IF($C$446=0,--(D$3=0),--(D$3&lt;=$C$446-1)/$C$446)-$C$453*Assumptions!$F$38*IF(AND(D$3&gt;=1,D$3&lt;=$C$446),1,0)-$C$454*(D$3=$C$446)+($C$453*Facility_salvage_pct+$C$454*GPU_salvage_pct*(1-$C$452))*(D$3=$C$446+GPU_life-1)</f>
        <v>-2878.8435351679996</v>
      </c>
      <c r="E464" s="54">
        <f>E461+E463-$C$453*IF($C$446=0,--(E$3=0),--(E$3&lt;=$C$446-1)/$C$446)-$C$453*Assumptions!$F$38*IF(AND(E$3&gt;=1,E$3&lt;=$C$446),1,0)-$C$454*(E$3=$C$446)+($C$453*Facility_salvage_pct+$C$454*GPU_salvage_pct*(1-$C$452))*(E$3=$C$446+GPU_life-1)</f>
        <v>1785.2449770880005</v>
      </c>
      <c r="F464" s="54">
        <f>F461+F463-$C$453*IF($C$446=0,--(F$3=0),--(F$3&lt;=$C$446-1)/$C$446)-$C$453*Assumptions!$F$38*IF(AND(F$3&gt;=1,F$3&lt;=$C$446),1,0)-$C$454*(F$3=$C$446)+($C$453*Facility_salvage_pct+$C$454*GPU_salvage_pct*(1-$C$452))*(F$3=$C$446+GPU_life-1)</f>
        <v>2088.3113612800003</v>
      </c>
      <c r="G464" s="54">
        <f>G461+G463-$C$453*IF($C$446=0,--(G$3=0),--(G$3&lt;=$C$446-1)/$C$446)-$C$453*Assumptions!$F$38*IF(AND(G$3&gt;=1,G$3&lt;=$C$446),1,0)-$C$454*(G$3=$C$446)+($C$453*Facility_salvage_pct+$C$454*GPU_salvage_pct*(1-$C$452))*(G$3=$C$446+GPU_life-1)</f>
        <v>2088.3113612800003</v>
      </c>
      <c r="H464" s="54">
        <f>H461+H463-$C$453*IF($C$446=0,--(H$3=0),--(H$3&lt;=$C$446-1)/$C$446)-$C$453*Assumptions!$F$38*IF(AND(H$3&gt;=1,H$3&lt;=$C$446),1,0)-$C$454*(H$3=$C$446)+($C$453*Facility_salvage_pct+$C$454*GPU_salvage_pct*(1-$C$452))*(H$3=$C$446+GPU_life-1)</f>
        <v>3067.8713612800002</v>
      </c>
      <c r="I464" s="54">
        <f>I461+I463-$C$453*IF($C$446=0,--(I$3=0),--(I$3&lt;=$C$446-1)/$C$446)-$C$453*Assumptions!$F$38*IF(AND(I$3&gt;=1,I$3&lt;=$C$446),1,0)-$C$454*(I$3=$C$446)+($C$453*Facility_salvage_pct+$C$454*GPU_salvage_pct*(1-$C$452))*(I$3=$C$446+GPU_life-1)</f>
        <v>0</v>
      </c>
      <c r="J464" s="54">
        <f>J461+J463-$C$453*IF($C$446=0,--(J$3=0),--(J$3&lt;=$C$446-1)/$C$446)-$C$453*Assumptions!$F$38*IF(AND(J$3&gt;=1,J$3&lt;=$C$446),1,0)-$C$454*(J$3=$C$446)+($C$453*Facility_salvage_pct+$C$454*GPU_salvage_pct*(1-$C$452))*(J$3=$C$446+GPU_life-1)</f>
        <v>0</v>
      </c>
      <c r="K464" s="54">
        <f>K461+K463-$C$453*IF($C$446=0,--(K$3=0),--(K$3&lt;=$C$446-1)/$C$446)-$C$453*Assumptions!$F$38*IF(AND(K$3&gt;=1,K$3&lt;=$C$446),1,0)-$C$454*(K$3=$C$446)+($C$453*Facility_salvage_pct+$C$454*GPU_salvage_pct*(1-$C$452))*(K$3=$C$446+GPU_life-1)</f>
        <v>0</v>
      </c>
      <c r="L464" s="54">
        <f>L461+L463-$C$453*IF($C$446=0,--(L$3=0),--(L$3&lt;=$C$446-1)/$C$446)-$C$453*Assumptions!$F$38*IF(AND(L$3&gt;=1,L$3&lt;=$C$446),1,0)-$C$454*(L$3=$C$446)+($C$453*Facility_salvage_pct+$C$454*GPU_salvage_pct*(1-$C$452))*(L$3=$C$446+GPU_life-1)</f>
        <v>0</v>
      </c>
      <c r="M464" s="54">
        <f>M461+M463-$C$453*IF($C$446=0,--(M$3=0),--(M$3&lt;=$C$446-1)/$C$446)-$C$453*Assumptions!$F$38*IF(AND(M$3&gt;=1,M$3&lt;=$C$446),1,0)-$C$454*(M$3=$C$446)+($C$453*Facility_salvage_pct+$C$454*GPU_salvage_pct*(1-$C$452))*(M$3=$C$446+GPU_life-1)</f>
        <v>0</v>
      </c>
      <c r="N464" s="54">
        <f>N461+N463-$C$453*IF($C$446=0,--(N$3=0),--(N$3&lt;=$C$446-1)/$C$446)-$C$453*Assumptions!$F$38*IF(AND(N$3&gt;=1,N$3&lt;=$C$446),1,0)-$C$454*(N$3=$C$446)+($C$453*Facility_salvage_pct+$C$454*GPU_salvage_pct*(1-$C$452))*(N$3=$C$446+GPU_life-1)</f>
        <v>0</v>
      </c>
      <c r="O464" s="54">
        <f>O461+O463-$C$453*IF($C$446=0,--(O$3=0),--(O$3&lt;=$C$446-1)/$C$446)-$C$453*Assumptions!$F$38*IF(AND(O$3&gt;=1,O$3&lt;=$C$446),1,0)-$C$454*(O$3=$C$446)+($C$453*Facility_salvage_pct+$C$454*GPU_salvage_pct*(1-$C$452))*(O$3=$C$446+GPU_life-1)</f>
        <v>0</v>
      </c>
      <c r="P464" s="54">
        <f>P461+P463-$C$453*IF($C$446=0,--(P$3=0),--(P$3&lt;=$C$446-1)/$C$446)-$C$453*Assumptions!$F$38*IF(AND(P$3&gt;=1,P$3&lt;=$C$446),1,0)-$C$454*(P$3=$C$446)+($C$453*Facility_salvage_pct+$C$454*GPU_salvage_pct*(1-$C$452))*(P$3=$C$446+GPU_life-1)</f>
        <v>0</v>
      </c>
      <c r="Q464" s="54">
        <f>Q461+Q463-$C$453*IF($C$446=0,--(Q$3=0),--(Q$3&lt;=$C$446-1)/$C$446)-$C$453*Assumptions!$F$38*IF(AND(Q$3&gt;=1,Q$3&lt;=$C$446),1,0)-$C$454*(Q$3=$C$446)+($C$453*Facility_salvage_pct+$C$454*GPU_salvage_pct*(1-$C$452))*(Q$3=$C$446+GPU_life-1)</f>
        <v>0</v>
      </c>
      <c r="R464" s="54">
        <f>R461+R463-$C$453*IF($C$446=0,--(R$3=0),--(R$3&lt;=$C$446-1)/$C$446)-$C$453*Assumptions!$F$38*IF(AND(R$3&gt;=1,R$3&lt;=$C$446),1,0)-$C$454*(R$3=$C$446)+($C$453*Facility_salvage_pct+$C$454*GPU_salvage_pct*(1-$C$452))*(R$3=$C$446+GPU_life-1)</f>
        <v>0</v>
      </c>
      <c r="S464" s="54">
        <f>S461+S463-$C$453*IF($C$446=0,--(S$3=0),--(S$3&lt;=$C$446-1)/$C$446)-$C$453*Assumptions!$F$38*IF(AND(S$3&gt;=1,S$3&lt;=$C$446),1,0)-$C$454*(S$3=$C$446)+($C$453*Facility_salvage_pct+$C$454*GPU_salvage_pct*(1-$C$452))*(S$3=$C$446+GPU_life-1)</f>
        <v>0</v>
      </c>
      <c r="T464" s="54">
        <f>T461+T463-$C$453*IF($C$446=0,--(T$3=0),--(T$3&lt;=$C$446-1)/$C$446)-$C$453*Assumptions!$F$38*IF(AND(T$3&gt;=1,T$3&lt;=$C$446),1,0)-$C$454*(T$3=$C$446)+($C$453*Facility_salvage_pct+$C$454*GPU_salvage_pct*(1-$C$452))*(T$3=$C$446+GPU_life-1)</f>
        <v>0</v>
      </c>
      <c r="U464" s="54">
        <f>U461+U463-$C$453*IF($C$446=0,--(U$3=0),--(U$3&lt;=$C$446-1)/$C$446)-$C$453*Assumptions!$F$38*IF(AND(U$3&gt;=1,U$3&lt;=$C$446),1,0)-$C$454*(U$3=$C$446)+($C$453*Facility_salvage_pct+$C$454*GPU_salvage_pct*(1-$C$452))*(U$3=$C$446+GPU_life-1)</f>
        <v>0</v>
      </c>
      <c r="V464" s="54">
        <f>V461+V463-$C$453*IF($C$446=0,--(V$3=0),--(V$3&lt;=$C$446-1)/$C$446)-$C$453*Assumptions!$F$38*IF(AND(V$3&gt;=1,V$3&lt;=$C$446),1,0)-$C$454*(V$3=$C$446)+($C$453*Facility_salvage_pct+$C$454*GPU_salvage_pct*(1-$C$452))*(V$3=$C$446+GPU_life-1)</f>
        <v>0</v>
      </c>
      <c r="W464" s="54">
        <f>W461+W463-$C$453*IF($C$446=0,--(W$3=0),--(W$3&lt;=$C$446-1)/$C$446)-$C$453*Assumptions!$F$38*IF(AND(W$3&gt;=1,W$3&lt;=$C$446),1,0)-$C$454*(W$3=$C$446)+($C$453*Facility_salvage_pct+$C$454*GPU_salvage_pct*(1-$C$452))*(W$3=$C$446+GPU_life-1)</f>
        <v>0</v>
      </c>
    </row>
    <row r="465" spans="1:23" ht="15" customHeight="1" x14ac:dyDescent="0.2">
      <c r="A465" s="4" t="s">
        <v>2154</v>
      </c>
      <c r="D465" s="54">
        <f t="shared" ref="D465:W465" si="96">D464*$C$448^D$3</f>
        <v>-2878.8435351679996</v>
      </c>
      <c r="E465" s="54">
        <f t="shared" si="96"/>
        <v>1678.8085171036305</v>
      </c>
      <c r="F465" s="54">
        <f t="shared" si="96"/>
        <v>1846.7237702184782</v>
      </c>
      <c r="G465" s="54">
        <f t="shared" si="96"/>
        <v>1736.6219392688342</v>
      </c>
      <c r="H465" s="54">
        <f t="shared" si="96"/>
        <v>2399.111990902386</v>
      </c>
      <c r="I465" s="54">
        <f t="shared" si="96"/>
        <v>0</v>
      </c>
      <c r="J465" s="54">
        <f t="shared" si="96"/>
        <v>0</v>
      </c>
      <c r="K465" s="54">
        <f t="shared" si="96"/>
        <v>0</v>
      </c>
      <c r="L465" s="54">
        <f t="shared" si="96"/>
        <v>0</v>
      </c>
      <c r="M465" s="54">
        <f t="shared" si="96"/>
        <v>0</v>
      </c>
      <c r="N465" s="54">
        <f t="shared" si="96"/>
        <v>0</v>
      </c>
      <c r="O465" s="54">
        <f t="shared" si="96"/>
        <v>0</v>
      </c>
      <c r="P465" s="54">
        <f t="shared" si="96"/>
        <v>0</v>
      </c>
      <c r="Q465" s="54">
        <f t="shared" si="96"/>
        <v>0</v>
      </c>
      <c r="R465" s="54">
        <f t="shared" si="96"/>
        <v>0</v>
      </c>
      <c r="S465" s="54">
        <f t="shared" si="96"/>
        <v>0</v>
      </c>
      <c r="T465" s="54">
        <f t="shared" si="96"/>
        <v>0</v>
      </c>
      <c r="U465" s="54">
        <f t="shared" si="96"/>
        <v>0</v>
      </c>
      <c r="V465" s="54">
        <f t="shared" si="96"/>
        <v>0</v>
      </c>
      <c r="W465" s="54">
        <f t="shared" si="96"/>
        <v>0</v>
      </c>
    </row>
    <row r="466" spans="1:23" ht="15" customHeight="1" x14ac:dyDescent="0.2">
      <c r="A466" s="4" t="s">
        <v>2155</v>
      </c>
      <c r="D466" s="54">
        <f t="shared" ref="D466:W466" si="97">(D460-$C$449*D458)*(1-$C$452)*$C$448^D$3</f>
        <v>1313.2876648320002</v>
      </c>
      <c r="E466" s="54">
        <f t="shared" si="97"/>
        <v>1614.9860608312965</v>
      </c>
      <c r="F466" s="54">
        <f t="shared" si="97"/>
        <v>1786.7064143106975</v>
      </c>
      <c r="G466" s="54">
        <f t="shared" si="97"/>
        <v>1680.1828233126739</v>
      </c>
      <c r="H466" s="54">
        <f t="shared" si="97"/>
        <v>1580.0101780258362</v>
      </c>
      <c r="I466" s="54">
        <f t="shared" si="97"/>
        <v>0</v>
      </c>
      <c r="J466" s="54">
        <f t="shared" si="97"/>
        <v>0</v>
      </c>
      <c r="K466" s="54">
        <f t="shared" si="97"/>
        <v>0</v>
      </c>
      <c r="L466" s="54">
        <f t="shared" si="97"/>
        <v>0</v>
      </c>
      <c r="M466" s="54">
        <f t="shared" si="97"/>
        <v>0</v>
      </c>
      <c r="N466" s="54">
        <f t="shared" si="97"/>
        <v>0</v>
      </c>
      <c r="O466" s="54">
        <f t="shared" si="97"/>
        <v>0</v>
      </c>
      <c r="P466" s="54">
        <f t="shared" si="97"/>
        <v>0</v>
      </c>
      <c r="Q466" s="54">
        <f t="shared" si="97"/>
        <v>0</v>
      </c>
      <c r="R466" s="54">
        <f t="shared" si="97"/>
        <v>0</v>
      </c>
      <c r="S466" s="54">
        <f t="shared" si="97"/>
        <v>0</v>
      </c>
      <c r="T466" s="54">
        <f t="shared" si="97"/>
        <v>0</v>
      </c>
      <c r="U466" s="54">
        <f t="shared" si="97"/>
        <v>0</v>
      </c>
      <c r="V466" s="54">
        <f t="shared" si="97"/>
        <v>0</v>
      </c>
      <c r="W466" s="54">
        <f t="shared" si="97"/>
        <v>0</v>
      </c>
    </row>
    <row r="467" spans="1:23" ht="15" customHeight="1" x14ac:dyDescent="0.2">
      <c r="A467" t="s">
        <v>2156</v>
      </c>
      <c r="C467">
        <v>0</v>
      </c>
    </row>
    <row r="468" spans="1:23" ht="15" customHeight="1" x14ac:dyDescent="0.2">
      <c r="A468" s="22" t="s">
        <v>2157</v>
      </c>
      <c r="C468" s="51">
        <f>SUM(D465:W465)</f>
        <v>4782.4226823253293</v>
      </c>
    </row>
    <row r="469" spans="1:23" ht="15" customHeight="1" x14ac:dyDescent="0.2">
      <c r="A469" s="4" t="s">
        <v>2158</v>
      </c>
      <c r="C469" s="48">
        <f>SUM(D466:W466)</f>
        <v>7975.1731413125044</v>
      </c>
    </row>
    <row r="470" spans="1:23" ht="15" customHeight="1" x14ac:dyDescent="0.2">
      <c r="A470" s="4" t="s">
        <v>63</v>
      </c>
      <c r="C470" s="31">
        <f>IF(C469&lt;=0,"n/a",IF(Paid_occupancy*(1-C468/C469)&gt;1,"&gt;100% (never)",Paid_occupancy*(1-C468/C469)))</f>
        <v>0.35229585040034939</v>
      </c>
    </row>
    <row r="472" spans="1:23" ht="15" customHeight="1" x14ac:dyDescent="0.2">
      <c r="A472" s="5"/>
      <c r="C472" s="48"/>
    </row>
    <row r="473" spans="1:23" ht="15" customHeight="1" x14ac:dyDescent="0.2">
      <c r="A473" s="5"/>
      <c r="C473" s="48"/>
    </row>
    <row r="474" spans="1:23" ht="15" customHeight="1" x14ac:dyDescent="0.2">
      <c r="A474" s="5"/>
      <c r="C474" s="28"/>
    </row>
    <row r="475" spans="1:23" ht="15" customHeight="1" x14ac:dyDescent="0.2">
      <c r="A475" s="5"/>
      <c r="C475" s="28"/>
    </row>
    <row r="476" spans="1:23" ht="15" customHeight="1" x14ac:dyDescent="0.2">
      <c r="A476" s="5"/>
      <c r="C476" s="48"/>
    </row>
    <row r="477" spans="1:23" ht="15" customHeight="1" x14ac:dyDescent="0.2">
      <c r="A477" s="5"/>
      <c r="C477" s="48"/>
    </row>
    <row r="478" spans="1:23" ht="15" customHeight="1" x14ac:dyDescent="0.2">
      <c r="A478" s="5"/>
      <c r="C478" s="48"/>
    </row>
    <row r="479" spans="1:23" ht="15" customHeight="1" x14ac:dyDescent="0.2">
      <c r="A479" s="5"/>
      <c r="C479" s="48"/>
    </row>
    <row r="480" spans="1:23" ht="15" customHeight="1" x14ac:dyDescent="0.2">
      <c r="A480" s="5"/>
      <c r="C480" s="48"/>
    </row>
    <row r="481" spans="1:3" ht="15" customHeight="1" x14ac:dyDescent="0.2">
      <c r="A481" s="5"/>
      <c r="C481" s="48"/>
    </row>
    <row r="482" spans="1:3" ht="15" customHeight="1" x14ac:dyDescent="0.2">
      <c r="A482" s="5"/>
      <c r="C482" s="48"/>
    </row>
    <row r="483" spans="1:3" ht="15" customHeight="1" x14ac:dyDescent="0.2">
      <c r="A483" s="5"/>
      <c r="C483" s="48"/>
    </row>
    <row r="484" spans="1:3" ht="15" customHeight="1" x14ac:dyDescent="0.2">
      <c r="A484" s="5"/>
      <c r="C484" s="48"/>
    </row>
    <row r="485" spans="1:3" ht="15" customHeight="1" x14ac:dyDescent="0.2">
      <c r="A485" s="5"/>
      <c r="C485" s="48"/>
    </row>
    <row r="486" spans="1:3" ht="15" customHeight="1" x14ac:dyDescent="0.2">
      <c r="A486" s="5"/>
      <c r="C486" s="48"/>
    </row>
    <row r="489" spans="1:3" ht="15" customHeight="1" x14ac:dyDescent="0.2">
      <c r="A489" s="7" t="s">
        <v>2169</v>
      </c>
      <c r="B489" s="4" t="s">
        <v>242</v>
      </c>
    </row>
    <row r="490" spans="1:3" ht="15" customHeight="1" x14ac:dyDescent="0.2">
      <c r="A490" s="4" t="s">
        <v>2137</v>
      </c>
      <c r="C490" s="28">
        <f>ROUND($C$511,0)</f>
        <v>0</v>
      </c>
    </row>
    <row r="491" spans="1:3" ht="15" customHeight="1" x14ac:dyDescent="0.2">
      <c r="A491" s="4" t="s">
        <v>2138</v>
      </c>
      <c r="C491" s="28">
        <f>INDEX(Assumptions!$I$50:$K$54,$C$495,MATCH(Assumptions!$B$4,Assumptions!$D$9:$F$9,0))+Deal_WACC_premium</f>
        <v>6.3399999999999998E-2</v>
      </c>
    </row>
    <row r="492" spans="1:3" ht="15" customHeight="1" x14ac:dyDescent="0.2">
      <c r="A492" s="4" t="s">
        <v>2139</v>
      </c>
      <c r="C492" s="28">
        <f>1/(1+$C$491)</f>
        <v>0.94037991348504801</v>
      </c>
    </row>
    <row r="493" spans="1:3" ht="15" customHeight="1" x14ac:dyDescent="0.2">
      <c r="A493" s="4" t="s">
        <v>2140</v>
      </c>
      <c r="C493" s="48">
        <f>IT_load_MW*INDEX(Assumptions!$M$50:$M$54,$C$495,1)*Hours_per_year*INDEX(Assumptions!$C$50:$E$54,$C$495,MATCH(Assumptions!$B$4,Assumptions!$D$9:$F$9,0))*Paid_occupancy/Unit_scale</f>
        <v>60.128639999999997</v>
      </c>
    </row>
    <row r="494" spans="1:3" ht="15" customHeight="1" x14ac:dyDescent="0.2">
      <c r="A494" s="4" t="s">
        <v>2141</v>
      </c>
      <c r="C494" s="48">
        <f>IT_load_MW*OM_fixed+Insurance_rate*Calculations!$C$6+INDEX(Assumptions!$O$50:$O$54,$C$495,1)*($C$497+Calculations!$C$6)*(1-Prop_tax_abatement)</f>
        <v>101.48</v>
      </c>
    </row>
    <row r="495" spans="1:3" ht="15" customHeight="1" x14ac:dyDescent="0.2">
      <c r="A495" s="4" t="s">
        <v>2142</v>
      </c>
      <c r="C495" s="48">
        <f>MATCH($B$489,Assumptions!$B$50:$B$54,0)</f>
        <v>2</v>
      </c>
    </row>
    <row r="496" spans="1:3" ht="15" customHeight="1" x14ac:dyDescent="0.2">
      <c r="A496" s="4" t="s">
        <v>2143</v>
      </c>
      <c r="C496" s="28">
        <f>INDEX(Assumptions!$L$50:$L$54,MATCH($B$489,Assumptions!$B$50:$B$54,0),1)</f>
        <v>0.21</v>
      </c>
    </row>
    <row r="497" spans="1:23" ht="15" customHeight="1" x14ac:dyDescent="0.2">
      <c r="A497" s="4" t="s">
        <v>2144</v>
      </c>
      <c r="C497" s="48">
        <f>IT_load_MW*(Facility_capex_MW+INDEX(Assumptions!$N$50:$N$54,$C$495,1))</f>
        <v>1760.0000000000002</v>
      </c>
    </row>
    <row r="498" spans="1:23" ht="15" customHeight="1" x14ac:dyDescent="0.2">
      <c r="A498" s="4" t="s">
        <v>2145</v>
      </c>
      <c r="C498" s="50">
        <f>Calculations!$C$6</f>
        <v>2520</v>
      </c>
    </row>
    <row r="499" spans="1:23" ht="15" customHeight="1" x14ac:dyDescent="0.2">
      <c r="A499" s="4" t="s">
        <v>2146</v>
      </c>
      <c r="C499" s="48">
        <f>IT_load_MW*Assumptions!$G$12*Hours_per_year*Paid_occupancy/Unit_scale*Compute_P0</f>
        <v>2636.4096000000004</v>
      </c>
    </row>
    <row r="500" spans="1:23" ht="15" customHeight="1" x14ac:dyDescent="0.2">
      <c r="A500" s="4" t="s">
        <v>2147</v>
      </c>
      <c r="D500" s="4">
        <f t="shared" ref="D500:W500" si="98">IF(D$3&lt;$C$490,0,IF(D$3&lt;=$C$490+GPU_life-1,1,0))</f>
        <v>1</v>
      </c>
      <c r="E500" s="4">
        <f t="shared" si="98"/>
        <v>1</v>
      </c>
      <c r="F500" s="4">
        <f t="shared" si="98"/>
        <v>1</v>
      </c>
      <c r="G500" s="4">
        <f t="shared" si="98"/>
        <v>1</v>
      </c>
      <c r="H500" s="4">
        <f t="shared" si="98"/>
        <v>1</v>
      </c>
      <c r="I500" s="4">
        <f t="shared" si="98"/>
        <v>0</v>
      </c>
      <c r="J500" s="4">
        <f t="shared" si="98"/>
        <v>0</v>
      </c>
      <c r="K500" s="4">
        <f t="shared" si="98"/>
        <v>0</v>
      </c>
      <c r="L500" s="4">
        <f t="shared" si="98"/>
        <v>0</v>
      </c>
      <c r="M500" s="4">
        <f t="shared" si="98"/>
        <v>0</v>
      </c>
      <c r="N500" s="4">
        <f t="shared" si="98"/>
        <v>0</v>
      </c>
      <c r="O500" s="4">
        <f t="shared" si="98"/>
        <v>0</v>
      </c>
      <c r="P500" s="4">
        <f t="shared" si="98"/>
        <v>0</v>
      </c>
      <c r="Q500" s="4">
        <f t="shared" si="98"/>
        <v>0</v>
      </c>
      <c r="R500" s="4">
        <f t="shared" si="98"/>
        <v>0</v>
      </c>
      <c r="S500" s="4">
        <f t="shared" si="98"/>
        <v>0</v>
      </c>
      <c r="T500" s="4">
        <f t="shared" si="98"/>
        <v>0</v>
      </c>
      <c r="U500" s="4">
        <f t="shared" si="98"/>
        <v>0</v>
      </c>
      <c r="V500" s="4">
        <f t="shared" si="98"/>
        <v>0</v>
      </c>
      <c r="W500" s="4">
        <f t="shared" si="98"/>
        <v>0</v>
      </c>
    </row>
    <row r="501" spans="1:23" ht="15" customHeight="1" x14ac:dyDescent="0.2">
      <c r="A501" s="4" t="s">
        <v>35</v>
      </c>
      <c r="D501" s="4">
        <f t="shared" ref="D501:W501" si="99">--(D500&gt;0)</f>
        <v>1</v>
      </c>
      <c r="E501" s="4">
        <f t="shared" si="99"/>
        <v>1</v>
      </c>
      <c r="F501" s="4">
        <f t="shared" si="99"/>
        <v>1</v>
      </c>
      <c r="G501" s="4">
        <f t="shared" si="99"/>
        <v>1</v>
      </c>
      <c r="H501" s="4">
        <f t="shared" si="99"/>
        <v>1</v>
      </c>
      <c r="I501" s="4">
        <f t="shared" si="99"/>
        <v>0</v>
      </c>
      <c r="J501" s="4">
        <f t="shared" si="99"/>
        <v>0</v>
      </c>
      <c r="K501" s="4">
        <f t="shared" si="99"/>
        <v>0</v>
      </c>
      <c r="L501" s="4">
        <f t="shared" si="99"/>
        <v>0</v>
      </c>
      <c r="M501" s="4">
        <f t="shared" si="99"/>
        <v>0</v>
      </c>
      <c r="N501" s="4">
        <f t="shared" si="99"/>
        <v>0</v>
      </c>
      <c r="O501" s="4">
        <f t="shared" si="99"/>
        <v>0</v>
      </c>
      <c r="P501" s="4">
        <f t="shared" si="99"/>
        <v>0</v>
      </c>
      <c r="Q501" s="4">
        <f t="shared" si="99"/>
        <v>0</v>
      </c>
      <c r="R501" s="4">
        <f t="shared" si="99"/>
        <v>0</v>
      </c>
      <c r="S501" s="4">
        <f t="shared" si="99"/>
        <v>0</v>
      </c>
      <c r="T501" s="4">
        <f t="shared" si="99"/>
        <v>0</v>
      </c>
      <c r="U501" s="4">
        <f t="shared" si="99"/>
        <v>0</v>
      </c>
      <c r="V501" s="4">
        <f t="shared" si="99"/>
        <v>0</v>
      </c>
      <c r="W501" s="4">
        <f t="shared" si="99"/>
        <v>0</v>
      </c>
    </row>
    <row r="502" spans="1:23" ht="15" customHeight="1" x14ac:dyDescent="0.2">
      <c r="A502" s="4" t="s">
        <v>2148</v>
      </c>
      <c r="D502" s="28">
        <f t="shared" ref="D502:W502" si="100">D501*(1-(1-Ramp_yr1)*((D$3-$C$490)=0)-(1-Ramp_yr2)*((D$3-$C$490)=1))</f>
        <v>0.65</v>
      </c>
      <c r="E502" s="28">
        <f t="shared" si="100"/>
        <v>0.85</v>
      </c>
      <c r="F502" s="28">
        <f t="shared" si="100"/>
        <v>1</v>
      </c>
      <c r="G502" s="28">
        <f t="shared" si="100"/>
        <v>1</v>
      </c>
      <c r="H502" s="28">
        <f t="shared" si="100"/>
        <v>1</v>
      </c>
      <c r="I502" s="28">
        <f t="shared" si="100"/>
        <v>0</v>
      </c>
      <c r="J502" s="28">
        <f t="shared" si="100"/>
        <v>0</v>
      </c>
      <c r="K502" s="28">
        <f t="shared" si="100"/>
        <v>0</v>
      </c>
      <c r="L502" s="28">
        <f t="shared" si="100"/>
        <v>0</v>
      </c>
      <c r="M502" s="28">
        <f t="shared" si="100"/>
        <v>0</v>
      </c>
      <c r="N502" s="28">
        <f t="shared" si="100"/>
        <v>0</v>
      </c>
      <c r="O502" s="28">
        <f t="shared" si="100"/>
        <v>0</v>
      </c>
      <c r="P502" s="28">
        <f t="shared" si="100"/>
        <v>0</v>
      </c>
      <c r="Q502" s="28">
        <f t="shared" si="100"/>
        <v>0</v>
      </c>
      <c r="R502" s="28">
        <f t="shared" si="100"/>
        <v>0</v>
      </c>
      <c r="S502" s="28">
        <f t="shared" si="100"/>
        <v>0</v>
      </c>
      <c r="T502" s="28">
        <f t="shared" si="100"/>
        <v>0</v>
      </c>
      <c r="U502" s="28">
        <f t="shared" si="100"/>
        <v>0</v>
      </c>
      <c r="V502" s="28">
        <f t="shared" si="100"/>
        <v>0</v>
      </c>
      <c r="W502" s="28">
        <f t="shared" si="100"/>
        <v>0</v>
      </c>
    </row>
    <row r="503" spans="1:23" ht="15" customHeight="1" x14ac:dyDescent="0.2">
      <c r="A503" s="4" t="s">
        <v>2149</v>
      </c>
      <c r="D503" s="48">
        <f>IF(Assumptions!$B$7="Contracted",MAX(Price_floor,Compute_P0*(1-Price_decline)^$C$511),MAX(Price_floor,Compute_P0*(1-Price_decline)^MAX($C$511+D$3-$C$490)))</f>
        <v>5.7</v>
      </c>
      <c r="E503" s="48">
        <f>IF(Assumptions!$B$7="Contracted",MAX(Price_floor,Compute_P0*(1-Price_decline)^$C$511),MAX(Price_floor,Compute_P0*(1-Price_decline)^MAX($C$511+E$3-$C$490)))</f>
        <v>5.7</v>
      </c>
      <c r="F503" s="48">
        <f>IF(Assumptions!$B$7="Contracted",MAX(Price_floor,Compute_P0*(1-Price_decline)^$C$511),MAX(Price_floor,Compute_P0*(1-Price_decline)^MAX($C$511+F$3-$C$490)))</f>
        <v>5.7</v>
      </c>
      <c r="G503" s="48">
        <f>IF(Assumptions!$B$7="Contracted",MAX(Price_floor,Compute_P0*(1-Price_decline)^$C$511),MAX(Price_floor,Compute_P0*(1-Price_decline)^MAX($C$511+G$3-$C$490)))</f>
        <v>5.7</v>
      </c>
      <c r="H503" s="48">
        <f>IF(Assumptions!$B$7="Contracted",MAX(Price_floor,Compute_P0*(1-Price_decline)^$C$511),MAX(Price_floor,Compute_P0*(1-Price_decline)^MAX($C$511+H$3-$C$490)))</f>
        <v>5.7</v>
      </c>
      <c r="I503" s="48">
        <f>IF(Assumptions!$B$7="Contracted",MAX(Price_floor,Compute_P0*(1-Price_decline)^$C$511),MAX(Price_floor,Compute_P0*(1-Price_decline)^MAX($C$511+I$3-$C$490)))</f>
        <v>5.7</v>
      </c>
      <c r="J503" s="48">
        <f>IF(Assumptions!$B$7="Contracted",MAX(Price_floor,Compute_P0*(1-Price_decline)^$C$511),MAX(Price_floor,Compute_P0*(1-Price_decline)^MAX($C$511+J$3-$C$490)))</f>
        <v>5.7</v>
      </c>
      <c r="K503" s="48">
        <f>IF(Assumptions!$B$7="Contracted",MAX(Price_floor,Compute_P0*(1-Price_decline)^$C$511),MAX(Price_floor,Compute_P0*(1-Price_decline)^MAX($C$511+K$3-$C$490)))</f>
        <v>5.7</v>
      </c>
      <c r="L503" s="48">
        <f>IF(Assumptions!$B$7="Contracted",MAX(Price_floor,Compute_P0*(1-Price_decline)^$C$511),MAX(Price_floor,Compute_P0*(1-Price_decline)^MAX($C$511+L$3-$C$490)))</f>
        <v>5.7</v>
      </c>
      <c r="M503" s="48">
        <f>IF(Assumptions!$B$7="Contracted",MAX(Price_floor,Compute_P0*(1-Price_decline)^$C$511),MAX(Price_floor,Compute_P0*(1-Price_decline)^MAX($C$511+M$3-$C$490)))</f>
        <v>5.7</v>
      </c>
      <c r="N503" s="48">
        <f>IF(Assumptions!$B$7="Contracted",MAX(Price_floor,Compute_P0*(1-Price_decline)^$C$511),MAX(Price_floor,Compute_P0*(1-Price_decline)^MAX($C$511+N$3-$C$490)))</f>
        <v>5.7</v>
      </c>
      <c r="O503" s="48">
        <f>IF(Assumptions!$B$7="Contracted",MAX(Price_floor,Compute_P0*(1-Price_decline)^$C$511),MAX(Price_floor,Compute_P0*(1-Price_decline)^MAX($C$511+O$3-$C$490)))</f>
        <v>5.7</v>
      </c>
      <c r="P503" s="48">
        <f>IF(Assumptions!$B$7="Contracted",MAX(Price_floor,Compute_P0*(1-Price_decline)^$C$511),MAX(Price_floor,Compute_P0*(1-Price_decline)^MAX($C$511+P$3-$C$490)))</f>
        <v>5.7</v>
      </c>
      <c r="Q503" s="48">
        <f>IF(Assumptions!$B$7="Contracted",MAX(Price_floor,Compute_P0*(1-Price_decline)^$C$511),MAX(Price_floor,Compute_P0*(1-Price_decline)^MAX($C$511+Q$3-$C$490)))</f>
        <v>5.7</v>
      </c>
      <c r="R503" s="48">
        <f>IF(Assumptions!$B$7="Contracted",MAX(Price_floor,Compute_P0*(1-Price_decline)^$C$511),MAX(Price_floor,Compute_P0*(1-Price_decline)^MAX($C$511+R$3-$C$490)))</f>
        <v>5.7</v>
      </c>
      <c r="S503" s="48">
        <f>IF(Assumptions!$B$7="Contracted",MAX(Price_floor,Compute_P0*(1-Price_decline)^$C$511),MAX(Price_floor,Compute_P0*(1-Price_decline)^MAX($C$511+S$3-$C$490)))</f>
        <v>5.7</v>
      </c>
      <c r="T503" s="48">
        <f>IF(Assumptions!$B$7="Contracted",MAX(Price_floor,Compute_P0*(1-Price_decline)^$C$511),MAX(Price_floor,Compute_P0*(1-Price_decline)^MAX($C$511+T$3-$C$490)))</f>
        <v>5.7</v>
      </c>
      <c r="U503" s="48">
        <f>IF(Assumptions!$B$7="Contracted",MAX(Price_floor,Compute_P0*(1-Price_decline)^$C$511),MAX(Price_floor,Compute_P0*(1-Price_decline)^MAX($C$511+U$3-$C$490)))</f>
        <v>5.7</v>
      </c>
      <c r="V503" s="48">
        <f>IF(Assumptions!$B$7="Contracted",MAX(Price_floor,Compute_P0*(1-Price_decline)^$C$511),MAX(Price_floor,Compute_P0*(1-Price_decline)^MAX($C$511+V$3-$C$490)))</f>
        <v>5.7</v>
      </c>
      <c r="W503" s="48">
        <f>IF(Assumptions!$B$7="Contracted",MAX(Price_floor,Compute_P0*(1-Price_decline)^$C$511),MAX(Price_floor,Compute_P0*(1-Price_decline)^MAX($C$511+W$3-$C$490)))</f>
        <v>5.7</v>
      </c>
    </row>
    <row r="504" spans="1:23" ht="15" customHeight="1" x14ac:dyDescent="0.2">
      <c r="A504" s="4" t="s">
        <v>2150</v>
      </c>
      <c r="D504" s="54">
        <f t="shared" ref="D504:W504" si="101">$C$499*D503/Compute_P0*D502</f>
        <v>1713.6662400000002</v>
      </c>
      <c r="E504" s="54">
        <f t="shared" si="101"/>
        <v>2240.9481600000004</v>
      </c>
      <c r="F504" s="54">
        <f t="shared" si="101"/>
        <v>2636.4096000000004</v>
      </c>
      <c r="G504" s="54">
        <f t="shared" si="101"/>
        <v>2636.4096000000004</v>
      </c>
      <c r="H504" s="54">
        <f t="shared" si="101"/>
        <v>2636.4096000000004</v>
      </c>
      <c r="I504" s="54">
        <f t="shared" si="101"/>
        <v>0</v>
      </c>
      <c r="J504" s="54">
        <f t="shared" si="101"/>
        <v>0</v>
      </c>
      <c r="K504" s="54">
        <f t="shared" si="101"/>
        <v>0</v>
      </c>
      <c r="L504" s="54">
        <f t="shared" si="101"/>
        <v>0</v>
      </c>
      <c r="M504" s="54">
        <f t="shared" si="101"/>
        <v>0</v>
      </c>
      <c r="N504" s="54">
        <f t="shared" si="101"/>
        <v>0</v>
      </c>
      <c r="O504" s="54">
        <f t="shared" si="101"/>
        <v>0</v>
      </c>
      <c r="P504" s="54">
        <f t="shared" si="101"/>
        <v>0</v>
      </c>
      <c r="Q504" s="54">
        <f t="shared" si="101"/>
        <v>0</v>
      </c>
      <c r="R504" s="54">
        <f t="shared" si="101"/>
        <v>0</v>
      </c>
      <c r="S504" s="54">
        <f t="shared" si="101"/>
        <v>0</v>
      </c>
      <c r="T504" s="54">
        <f t="shared" si="101"/>
        <v>0</v>
      </c>
      <c r="U504" s="54">
        <f t="shared" si="101"/>
        <v>0</v>
      </c>
      <c r="V504" s="54">
        <f t="shared" si="101"/>
        <v>0</v>
      </c>
      <c r="W504" s="54">
        <f t="shared" si="101"/>
        <v>0</v>
      </c>
    </row>
    <row r="505" spans="1:23" ht="15" customHeight="1" x14ac:dyDescent="0.2">
      <c r="A505" s="4" t="s">
        <v>42</v>
      </c>
      <c r="D505" s="54">
        <f t="shared" ref="D505:W505" si="102">D504-$C$493*D502-$C$494*D501</f>
        <v>1573.1026240000003</v>
      </c>
      <c r="E505" s="54">
        <f t="shared" si="102"/>
        <v>2088.3588160000004</v>
      </c>
      <c r="F505" s="54">
        <f t="shared" si="102"/>
        <v>2474.8009600000005</v>
      </c>
      <c r="G505" s="54">
        <f t="shared" si="102"/>
        <v>2474.8009600000005</v>
      </c>
      <c r="H505" s="54">
        <f t="shared" si="102"/>
        <v>2474.8009600000005</v>
      </c>
      <c r="I505" s="54">
        <f t="shared" si="102"/>
        <v>0</v>
      </c>
      <c r="J505" s="54">
        <f t="shared" si="102"/>
        <v>0</v>
      </c>
      <c r="K505" s="54">
        <f t="shared" si="102"/>
        <v>0</v>
      </c>
      <c r="L505" s="54">
        <f t="shared" si="102"/>
        <v>0</v>
      </c>
      <c r="M505" s="54">
        <f t="shared" si="102"/>
        <v>0</v>
      </c>
      <c r="N505" s="54">
        <f t="shared" si="102"/>
        <v>0</v>
      </c>
      <c r="O505" s="54">
        <f t="shared" si="102"/>
        <v>0</v>
      </c>
      <c r="P505" s="54">
        <f t="shared" si="102"/>
        <v>0</v>
      </c>
      <c r="Q505" s="54">
        <f t="shared" si="102"/>
        <v>0</v>
      </c>
      <c r="R505" s="54">
        <f t="shared" si="102"/>
        <v>0</v>
      </c>
      <c r="S505" s="54">
        <f t="shared" si="102"/>
        <v>0</v>
      </c>
      <c r="T505" s="54">
        <f t="shared" si="102"/>
        <v>0</v>
      </c>
      <c r="U505" s="54">
        <f t="shared" si="102"/>
        <v>0</v>
      </c>
      <c r="V505" s="54">
        <f t="shared" si="102"/>
        <v>0</v>
      </c>
      <c r="W505" s="54">
        <f t="shared" si="102"/>
        <v>0</v>
      </c>
    </row>
    <row r="506" spans="1:23" ht="15" customHeight="1" x14ac:dyDescent="0.2">
      <c r="A506" s="4" t="s">
        <v>2151</v>
      </c>
      <c r="D506" s="54">
        <f>-($C$497*Calculations!$C$15+$C$498/GPU_life)*D501</f>
        <v>-616.34666666666669</v>
      </c>
      <c r="E506" s="54">
        <f>-($C$497*Calculations!$C$15+$C$498/GPU_life)*E501</f>
        <v>-616.34666666666669</v>
      </c>
      <c r="F506" s="54">
        <f>-($C$497*Calculations!$C$15+$C$498/GPU_life)*F501</f>
        <v>-616.34666666666669</v>
      </c>
      <c r="G506" s="54">
        <f>-($C$497*Calculations!$C$15+$C$498/GPU_life)*G501</f>
        <v>-616.34666666666669</v>
      </c>
      <c r="H506" s="54">
        <f>-($C$497*Calculations!$C$15+$C$498/GPU_life)*H501</f>
        <v>-616.34666666666669</v>
      </c>
      <c r="I506" s="54">
        <f>-($C$497*Calculations!$C$15+$C$498/GPU_life)*I501</f>
        <v>0</v>
      </c>
      <c r="J506" s="54">
        <f>-($C$497*Calculations!$C$15+$C$498/GPU_life)*J501</f>
        <v>0</v>
      </c>
      <c r="K506" s="54">
        <f>-($C$497*Calculations!$C$15+$C$498/GPU_life)*K501</f>
        <v>0</v>
      </c>
      <c r="L506" s="54">
        <f>-($C$497*Calculations!$C$15+$C$498/GPU_life)*L501</f>
        <v>0</v>
      </c>
      <c r="M506" s="54">
        <f>-($C$497*Calculations!$C$15+$C$498/GPU_life)*M501</f>
        <v>0</v>
      </c>
      <c r="N506" s="54">
        <f>-($C$497*Calculations!$C$15+$C$498/GPU_life)*N501</f>
        <v>0</v>
      </c>
      <c r="O506" s="54">
        <f>-($C$497*Calculations!$C$15+$C$498/GPU_life)*O501</f>
        <v>0</v>
      </c>
      <c r="P506" s="54">
        <f>-($C$497*Calculations!$C$15+$C$498/GPU_life)*P501</f>
        <v>0</v>
      </c>
      <c r="Q506" s="54">
        <f>-($C$497*Calculations!$C$15+$C$498/GPU_life)*Q501</f>
        <v>0</v>
      </c>
      <c r="R506" s="54">
        <f>-($C$497*Calculations!$C$15+$C$498/GPU_life)*R501</f>
        <v>0</v>
      </c>
      <c r="S506" s="54">
        <f>-($C$497*Calculations!$C$15+$C$498/GPU_life)*S501</f>
        <v>0</v>
      </c>
      <c r="T506" s="54">
        <f>-($C$497*Calculations!$C$15+$C$498/GPU_life)*T501</f>
        <v>0</v>
      </c>
      <c r="U506" s="54">
        <f>-($C$497*Calculations!$C$15+$C$498/GPU_life)*U501</f>
        <v>0</v>
      </c>
      <c r="V506" s="54">
        <f>-($C$497*Calculations!$C$15+$C$498/GPU_life)*V501</f>
        <v>0</v>
      </c>
      <c r="W506" s="54">
        <f>-($C$497*Calculations!$C$15+$C$498/GPU_life)*W501</f>
        <v>0</v>
      </c>
    </row>
    <row r="507" spans="1:23" ht="15" customHeight="1" x14ac:dyDescent="0.2">
      <c r="A507" s="4" t="s">
        <v>2152</v>
      </c>
      <c r="D507" s="54">
        <f t="shared" ref="D507:W507" si="103">-$C$496*MAX(D505+D506,0)</f>
        <v>-200.91875104000005</v>
      </c>
      <c r="E507" s="54">
        <f t="shared" si="103"/>
        <v>-309.12255136000005</v>
      </c>
      <c r="F507" s="54">
        <f t="shared" si="103"/>
        <v>-390.27540160000007</v>
      </c>
      <c r="G507" s="54">
        <f t="shared" si="103"/>
        <v>-390.27540160000007</v>
      </c>
      <c r="H507" s="54">
        <f t="shared" si="103"/>
        <v>-390.27540160000007</v>
      </c>
      <c r="I507" s="54">
        <f t="shared" si="103"/>
        <v>0</v>
      </c>
      <c r="J507" s="54">
        <f t="shared" si="103"/>
        <v>0</v>
      </c>
      <c r="K507" s="54">
        <f t="shared" si="103"/>
        <v>0</v>
      </c>
      <c r="L507" s="54">
        <f t="shared" si="103"/>
        <v>0</v>
      </c>
      <c r="M507" s="54">
        <f t="shared" si="103"/>
        <v>0</v>
      </c>
      <c r="N507" s="54">
        <f t="shared" si="103"/>
        <v>0</v>
      </c>
      <c r="O507" s="54">
        <f t="shared" si="103"/>
        <v>0</v>
      </c>
      <c r="P507" s="54">
        <f t="shared" si="103"/>
        <v>0</v>
      </c>
      <c r="Q507" s="54">
        <f t="shared" si="103"/>
        <v>0</v>
      </c>
      <c r="R507" s="54">
        <f t="shared" si="103"/>
        <v>0</v>
      </c>
      <c r="S507" s="54">
        <f t="shared" si="103"/>
        <v>0</v>
      </c>
      <c r="T507" s="54">
        <f t="shared" si="103"/>
        <v>0</v>
      </c>
      <c r="U507" s="54">
        <f t="shared" si="103"/>
        <v>0</v>
      </c>
      <c r="V507" s="54">
        <f t="shared" si="103"/>
        <v>0</v>
      </c>
      <c r="W507" s="54">
        <f t="shared" si="103"/>
        <v>0</v>
      </c>
    </row>
    <row r="508" spans="1:23" ht="15" customHeight="1" x14ac:dyDescent="0.2">
      <c r="A508" s="4" t="s">
        <v>2153</v>
      </c>
      <c r="D508" s="54">
        <f>D505+D507-$C$497*IF($C$490=0,--(D$3=0),--(D$3&lt;=$C$490-1)/$C$490)-$C$497*Assumptions!$F$38*IF(AND(D$3&gt;=1,D$3&lt;=$C$490),1,0)-$C$498*(D$3=$C$490)+($C$497*Facility_salvage_pct+$C$498*GPU_salvage_pct*(1-$C$496))*(D$3=$C$490+GPU_life-1)</f>
        <v>-2907.8161270399996</v>
      </c>
      <c r="E508" s="54">
        <f>E505+E507-$C$497*IF($C$490=0,--(E$3=0),--(E$3&lt;=$C$490-1)/$C$490)-$C$497*Assumptions!$F$38*IF(AND(E$3&gt;=1,E$3&lt;=$C$490),1,0)-$C$498*(E$3=$C$490)+($C$497*Facility_salvage_pct+$C$498*GPU_salvage_pct*(1-$C$496))*(E$3=$C$490+GPU_life-1)</f>
        <v>1779.2362646400004</v>
      </c>
      <c r="F508" s="54">
        <f>F505+F507-$C$497*IF($C$490=0,--(F$3=0),--(F$3&lt;=$C$490-1)/$C$490)-$C$497*Assumptions!$F$38*IF(AND(F$3&gt;=1,F$3&lt;=$C$490),1,0)-$C$498*(F$3=$C$490)+($C$497*Facility_salvage_pct+$C$498*GPU_salvage_pct*(1-$C$496))*(F$3=$C$490+GPU_life-1)</f>
        <v>2084.5255584000006</v>
      </c>
      <c r="G508" s="54">
        <f>G505+G507-$C$497*IF($C$490=0,--(G$3=0),--(G$3&lt;=$C$490-1)/$C$490)-$C$497*Assumptions!$F$38*IF(AND(G$3&gt;=1,G$3&lt;=$C$490),1,0)-$C$498*(G$3=$C$490)+($C$497*Facility_salvage_pct+$C$498*GPU_salvage_pct*(1-$C$496))*(G$3=$C$490+GPU_life-1)</f>
        <v>2084.5255584000006</v>
      </c>
      <c r="H508" s="54">
        <f>H505+H507-$C$497*IF($C$490=0,--(H$3=0),--(H$3&lt;=$C$490-1)/$C$490)-$C$497*Assumptions!$F$38*IF(AND(H$3&gt;=1,H$3&lt;=$C$490),1,0)-$C$498*(H$3=$C$490)+($C$497*Facility_salvage_pct+$C$498*GPU_salvage_pct*(1-$C$496))*(H$3=$C$490+GPU_life-1)</f>
        <v>3075.6055584000005</v>
      </c>
      <c r="I508" s="54">
        <f>I505+I507-$C$497*IF($C$490=0,--(I$3=0),--(I$3&lt;=$C$490-1)/$C$490)-$C$497*Assumptions!$F$38*IF(AND(I$3&gt;=1,I$3&lt;=$C$490),1,0)-$C$498*(I$3=$C$490)+($C$497*Facility_salvage_pct+$C$498*GPU_salvage_pct*(1-$C$496))*(I$3=$C$490+GPU_life-1)</f>
        <v>0</v>
      </c>
      <c r="J508" s="54">
        <f>J505+J507-$C$497*IF($C$490=0,--(J$3=0),--(J$3&lt;=$C$490-1)/$C$490)-$C$497*Assumptions!$F$38*IF(AND(J$3&gt;=1,J$3&lt;=$C$490),1,0)-$C$498*(J$3=$C$490)+($C$497*Facility_salvage_pct+$C$498*GPU_salvage_pct*(1-$C$496))*(J$3=$C$490+GPU_life-1)</f>
        <v>0</v>
      </c>
      <c r="K508" s="54">
        <f>K505+K507-$C$497*IF($C$490=0,--(K$3=0),--(K$3&lt;=$C$490-1)/$C$490)-$C$497*Assumptions!$F$38*IF(AND(K$3&gt;=1,K$3&lt;=$C$490),1,0)-$C$498*(K$3=$C$490)+($C$497*Facility_salvage_pct+$C$498*GPU_salvage_pct*(1-$C$496))*(K$3=$C$490+GPU_life-1)</f>
        <v>0</v>
      </c>
      <c r="L508" s="54">
        <f>L505+L507-$C$497*IF($C$490=0,--(L$3=0),--(L$3&lt;=$C$490-1)/$C$490)-$C$497*Assumptions!$F$38*IF(AND(L$3&gt;=1,L$3&lt;=$C$490),1,0)-$C$498*(L$3=$C$490)+($C$497*Facility_salvage_pct+$C$498*GPU_salvage_pct*(1-$C$496))*(L$3=$C$490+GPU_life-1)</f>
        <v>0</v>
      </c>
      <c r="M508" s="54">
        <f>M505+M507-$C$497*IF($C$490=0,--(M$3=0),--(M$3&lt;=$C$490-1)/$C$490)-$C$497*Assumptions!$F$38*IF(AND(M$3&gt;=1,M$3&lt;=$C$490),1,0)-$C$498*(M$3=$C$490)+($C$497*Facility_salvage_pct+$C$498*GPU_salvage_pct*(1-$C$496))*(M$3=$C$490+GPU_life-1)</f>
        <v>0</v>
      </c>
      <c r="N508" s="54">
        <f>N505+N507-$C$497*IF($C$490=0,--(N$3=0),--(N$3&lt;=$C$490-1)/$C$490)-$C$497*Assumptions!$F$38*IF(AND(N$3&gt;=1,N$3&lt;=$C$490),1,0)-$C$498*(N$3=$C$490)+($C$497*Facility_salvage_pct+$C$498*GPU_salvage_pct*(1-$C$496))*(N$3=$C$490+GPU_life-1)</f>
        <v>0</v>
      </c>
      <c r="O508" s="54">
        <f>O505+O507-$C$497*IF($C$490=0,--(O$3=0),--(O$3&lt;=$C$490-1)/$C$490)-$C$497*Assumptions!$F$38*IF(AND(O$3&gt;=1,O$3&lt;=$C$490),1,0)-$C$498*(O$3=$C$490)+($C$497*Facility_salvage_pct+$C$498*GPU_salvage_pct*(1-$C$496))*(O$3=$C$490+GPU_life-1)</f>
        <v>0</v>
      </c>
      <c r="P508" s="54">
        <f>P505+P507-$C$497*IF($C$490=0,--(P$3=0),--(P$3&lt;=$C$490-1)/$C$490)-$C$497*Assumptions!$F$38*IF(AND(P$3&gt;=1,P$3&lt;=$C$490),1,0)-$C$498*(P$3=$C$490)+($C$497*Facility_salvage_pct+$C$498*GPU_salvage_pct*(1-$C$496))*(P$3=$C$490+GPU_life-1)</f>
        <v>0</v>
      </c>
      <c r="Q508" s="54">
        <f>Q505+Q507-$C$497*IF($C$490=0,--(Q$3=0),--(Q$3&lt;=$C$490-1)/$C$490)-$C$497*Assumptions!$F$38*IF(AND(Q$3&gt;=1,Q$3&lt;=$C$490),1,0)-$C$498*(Q$3=$C$490)+($C$497*Facility_salvage_pct+$C$498*GPU_salvage_pct*(1-$C$496))*(Q$3=$C$490+GPU_life-1)</f>
        <v>0</v>
      </c>
      <c r="R508" s="54">
        <f>R505+R507-$C$497*IF($C$490=0,--(R$3=0),--(R$3&lt;=$C$490-1)/$C$490)-$C$497*Assumptions!$F$38*IF(AND(R$3&gt;=1,R$3&lt;=$C$490),1,0)-$C$498*(R$3=$C$490)+($C$497*Facility_salvage_pct+$C$498*GPU_salvage_pct*(1-$C$496))*(R$3=$C$490+GPU_life-1)</f>
        <v>0</v>
      </c>
      <c r="S508" s="54">
        <f>S505+S507-$C$497*IF($C$490=0,--(S$3=0),--(S$3&lt;=$C$490-1)/$C$490)-$C$497*Assumptions!$F$38*IF(AND(S$3&gt;=1,S$3&lt;=$C$490),1,0)-$C$498*(S$3=$C$490)+($C$497*Facility_salvage_pct+$C$498*GPU_salvage_pct*(1-$C$496))*(S$3=$C$490+GPU_life-1)</f>
        <v>0</v>
      </c>
      <c r="T508" s="54">
        <f>T505+T507-$C$497*IF($C$490=0,--(T$3=0),--(T$3&lt;=$C$490-1)/$C$490)-$C$497*Assumptions!$F$38*IF(AND(T$3&gt;=1,T$3&lt;=$C$490),1,0)-$C$498*(T$3=$C$490)+($C$497*Facility_salvage_pct+$C$498*GPU_salvage_pct*(1-$C$496))*(T$3=$C$490+GPU_life-1)</f>
        <v>0</v>
      </c>
      <c r="U508" s="54">
        <f>U505+U507-$C$497*IF($C$490=0,--(U$3=0),--(U$3&lt;=$C$490-1)/$C$490)-$C$497*Assumptions!$F$38*IF(AND(U$3&gt;=1,U$3&lt;=$C$490),1,0)-$C$498*(U$3=$C$490)+($C$497*Facility_salvage_pct+$C$498*GPU_salvage_pct*(1-$C$496))*(U$3=$C$490+GPU_life-1)</f>
        <v>0</v>
      </c>
      <c r="V508" s="54">
        <f>V505+V507-$C$497*IF($C$490=0,--(V$3=0),--(V$3&lt;=$C$490-1)/$C$490)-$C$497*Assumptions!$F$38*IF(AND(V$3&gt;=1,V$3&lt;=$C$490),1,0)-$C$498*(V$3=$C$490)+($C$497*Facility_salvage_pct+$C$498*GPU_salvage_pct*(1-$C$496))*(V$3=$C$490+GPU_life-1)</f>
        <v>0</v>
      </c>
      <c r="W508" s="54">
        <f>W505+W507-$C$497*IF($C$490=0,--(W$3=0),--(W$3&lt;=$C$490-1)/$C$490)-$C$497*Assumptions!$F$38*IF(AND(W$3&gt;=1,W$3&lt;=$C$490),1,0)-$C$498*(W$3=$C$490)+($C$497*Facility_salvage_pct+$C$498*GPU_salvage_pct*(1-$C$496))*(W$3=$C$490+GPU_life-1)</f>
        <v>0</v>
      </c>
    </row>
    <row r="509" spans="1:23" ht="15" customHeight="1" x14ac:dyDescent="0.2">
      <c r="A509" s="4" t="s">
        <v>2154</v>
      </c>
      <c r="D509" s="54">
        <f t="shared" ref="D509:W509" si="104">D508*$C$492^D$3</f>
        <v>-2907.8161270399996</v>
      </c>
      <c r="E509" s="54">
        <f t="shared" si="104"/>
        <v>1673.1580446116236</v>
      </c>
      <c r="F509" s="54">
        <f t="shared" si="104"/>
        <v>1843.3759302854655</v>
      </c>
      <c r="G509" s="54">
        <f t="shared" si="104"/>
        <v>1733.4736978422661</v>
      </c>
      <c r="H509" s="54">
        <f t="shared" si="104"/>
        <v>2405.1602252856078</v>
      </c>
      <c r="I509" s="54">
        <f t="shared" si="104"/>
        <v>0</v>
      </c>
      <c r="J509" s="54">
        <f t="shared" si="104"/>
        <v>0</v>
      </c>
      <c r="K509" s="54">
        <f t="shared" si="104"/>
        <v>0</v>
      </c>
      <c r="L509" s="54">
        <f t="shared" si="104"/>
        <v>0</v>
      </c>
      <c r="M509" s="54">
        <f t="shared" si="104"/>
        <v>0</v>
      </c>
      <c r="N509" s="54">
        <f t="shared" si="104"/>
        <v>0</v>
      </c>
      <c r="O509" s="54">
        <f t="shared" si="104"/>
        <v>0</v>
      </c>
      <c r="P509" s="54">
        <f t="shared" si="104"/>
        <v>0</v>
      </c>
      <c r="Q509" s="54">
        <f t="shared" si="104"/>
        <v>0</v>
      </c>
      <c r="R509" s="54">
        <f t="shared" si="104"/>
        <v>0</v>
      </c>
      <c r="S509" s="54">
        <f t="shared" si="104"/>
        <v>0</v>
      </c>
      <c r="T509" s="54">
        <f t="shared" si="104"/>
        <v>0</v>
      </c>
      <c r="U509" s="54">
        <f t="shared" si="104"/>
        <v>0</v>
      </c>
      <c r="V509" s="54">
        <f t="shared" si="104"/>
        <v>0</v>
      </c>
      <c r="W509" s="54">
        <f t="shared" si="104"/>
        <v>0</v>
      </c>
    </row>
    <row r="510" spans="1:23" ht="15" customHeight="1" x14ac:dyDescent="0.2">
      <c r="A510" s="4" t="s">
        <v>2155</v>
      </c>
      <c r="D510" s="54">
        <f t="shared" ref="D510:W510" si="105">(D504-$C$493*D502)*(1-$C$496)*$C$492^D$3</f>
        <v>1322.9202729600004</v>
      </c>
      <c r="E510" s="54">
        <f t="shared" si="105"/>
        <v>1626.8315447056616</v>
      </c>
      <c r="F510" s="54">
        <f t="shared" si="105"/>
        <v>1799.8114203118319</v>
      </c>
      <c r="G510" s="54">
        <f t="shared" si="105"/>
        <v>1692.5065077222418</v>
      </c>
      <c r="H510" s="54">
        <f t="shared" si="105"/>
        <v>1591.5991233047228</v>
      </c>
      <c r="I510" s="54">
        <f t="shared" si="105"/>
        <v>0</v>
      </c>
      <c r="J510" s="54">
        <f t="shared" si="105"/>
        <v>0</v>
      </c>
      <c r="K510" s="54">
        <f t="shared" si="105"/>
        <v>0</v>
      </c>
      <c r="L510" s="54">
        <f t="shared" si="105"/>
        <v>0</v>
      </c>
      <c r="M510" s="54">
        <f t="shared" si="105"/>
        <v>0</v>
      </c>
      <c r="N510" s="54">
        <f t="shared" si="105"/>
        <v>0</v>
      </c>
      <c r="O510" s="54">
        <f t="shared" si="105"/>
        <v>0</v>
      </c>
      <c r="P510" s="54">
        <f t="shared" si="105"/>
        <v>0</v>
      </c>
      <c r="Q510" s="54">
        <f t="shared" si="105"/>
        <v>0</v>
      </c>
      <c r="R510" s="54">
        <f t="shared" si="105"/>
        <v>0</v>
      </c>
      <c r="S510" s="54">
        <f t="shared" si="105"/>
        <v>0</v>
      </c>
      <c r="T510" s="54">
        <f t="shared" si="105"/>
        <v>0</v>
      </c>
      <c r="U510" s="54">
        <f t="shared" si="105"/>
        <v>0</v>
      </c>
      <c r="V510" s="54">
        <f t="shared" si="105"/>
        <v>0</v>
      </c>
      <c r="W510" s="54">
        <f t="shared" si="105"/>
        <v>0</v>
      </c>
    </row>
    <row r="511" spans="1:23" ht="15" customHeight="1" x14ac:dyDescent="0.2">
      <c r="A511" t="s">
        <v>2156</v>
      </c>
      <c r="C511">
        <v>0</v>
      </c>
    </row>
    <row r="512" spans="1:23" ht="15" customHeight="1" x14ac:dyDescent="0.2">
      <c r="A512" s="22" t="s">
        <v>2157</v>
      </c>
      <c r="C512" s="51">
        <f>SUM(D509:W509)</f>
        <v>4747.3517709849639</v>
      </c>
    </row>
    <row r="513" spans="1:3" ht="15" customHeight="1" x14ac:dyDescent="0.2">
      <c r="A513" s="4" t="s">
        <v>2158</v>
      </c>
      <c r="C513" s="48">
        <f>SUM(D510:W510)</f>
        <v>8033.6688690044584</v>
      </c>
    </row>
    <row r="514" spans="1:3" ht="15" customHeight="1" x14ac:dyDescent="0.2">
      <c r="A514" s="4" t="s">
        <v>63</v>
      </c>
      <c r="C514" s="31">
        <f>IF(C513&lt;=0,"n/a",IF(Paid_occupancy*(1-C512/C513)&gt;1,"&gt;100% (never)",Paid_occupancy*(1-C512/C513)))</f>
        <v>0.35997986641133867</v>
      </c>
    </row>
    <row r="516" spans="1:3" ht="15" customHeight="1" x14ac:dyDescent="0.2">
      <c r="A516" s="5"/>
      <c r="C516" s="48"/>
    </row>
    <row r="517" spans="1:3" ht="15" customHeight="1" x14ac:dyDescent="0.2">
      <c r="A517" s="5"/>
      <c r="C517" s="48"/>
    </row>
    <row r="518" spans="1:3" ht="15" customHeight="1" x14ac:dyDescent="0.2">
      <c r="A518" s="5"/>
      <c r="C518" s="28"/>
    </row>
    <row r="519" spans="1:3" ht="15" customHeight="1" x14ac:dyDescent="0.2">
      <c r="A519" s="5"/>
      <c r="C519" s="28"/>
    </row>
    <row r="520" spans="1:3" ht="15" customHeight="1" x14ac:dyDescent="0.2">
      <c r="A520" s="5"/>
      <c r="C520" s="48"/>
    </row>
    <row r="521" spans="1:3" ht="15" customHeight="1" x14ac:dyDescent="0.2">
      <c r="A521" s="5"/>
      <c r="C521" s="48"/>
    </row>
    <row r="522" spans="1:3" ht="15" customHeight="1" x14ac:dyDescent="0.2">
      <c r="A522" s="5"/>
      <c r="C522" s="48"/>
    </row>
    <row r="523" spans="1:3" ht="15" customHeight="1" x14ac:dyDescent="0.2">
      <c r="A523" s="5"/>
      <c r="C523" s="48"/>
    </row>
    <row r="524" spans="1:3" ht="15" customHeight="1" x14ac:dyDescent="0.2">
      <c r="A524" s="5"/>
      <c r="C524" s="48"/>
    </row>
    <row r="525" spans="1:3" ht="15" customHeight="1" x14ac:dyDescent="0.2">
      <c r="A525" s="5"/>
      <c r="C525" s="48"/>
    </row>
    <row r="526" spans="1:3" ht="15" customHeight="1" x14ac:dyDescent="0.2">
      <c r="A526" s="5"/>
      <c r="C526" s="48"/>
    </row>
    <row r="527" spans="1:3" ht="15" customHeight="1" x14ac:dyDescent="0.2">
      <c r="A527" s="5"/>
      <c r="C527" s="48"/>
    </row>
    <row r="528" spans="1:3" ht="15" customHeight="1" x14ac:dyDescent="0.2">
      <c r="A528" s="5"/>
      <c r="C528" s="48"/>
    </row>
    <row r="529" spans="1:23" ht="15" customHeight="1" x14ac:dyDescent="0.2">
      <c r="A529" s="5"/>
      <c r="C529" s="48"/>
    </row>
    <row r="530" spans="1:23" ht="15" customHeight="1" x14ac:dyDescent="0.2">
      <c r="A530" s="5"/>
      <c r="C530" s="48"/>
    </row>
    <row r="533" spans="1:23" ht="15" customHeight="1" x14ac:dyDescent="0.2">
      <c r="A533" s="7" t="s">
        <v>2170</v>
      </c>
      <c r="B533" s="4" t="s">
        <v>247</v>
      </c>
    </row>
    <row r="534" spans="1:23" ht="15" customHeight="1" x14ac:dyDescent="0.2">
      <c r="A534" s="4" t="s">
        <v>2137</v>
      </c>
      <c r="C534" s="28">
        <f>ROUND($C$555,0)</f>
        <v>0</v>
      </c>
    </row>
    <row r="535" spans="1:23" ht="15" customHeight="1" x14ac:dyDescent="0.2">
      <c r="A535" s="4" t="s">
        <v>2138</v>
      </c>
      <c r="C535" s="28">
        <f>INDEX(Assumptions!$I$50:$K$54,$C$539,MATCH(Assumptions!$B$4,Assumptions!$D$9:$F$9,0))+Deal_WACC_premium</f>
        <v>7.8399999999999997E-2</v>
      </c>
    </row>
    <row r="536" spans="1:23" ht="15" customHeight="1" x14ac:dyDescent="0.2">
      <c r="A536" s="4" t="s">
        <v>2139</v>
      </c>
      <c r="C536" s="28">
        <f>1/(1+$C$535)</f>
        <v>0.92729970326409494</v>
      </c>
    </row>
    <row r="537" spans="1:23" ht="15" customHeight="1" x14ac:dyDescent="0.2">
      <c r="A537" s="4" t="s">
        <v>2140</v>
      </c>
      <c r="C537" s="48">
        <f>IT_load_MW*INDEX(Assumptions!$M$50:$M$54,$C$539,1)*Hours_per_year*INDEX(Assumptions!$C$50:$E$54,$C$539,MATCH(Assumptions!$B$4,Assumptions!$D$9:$F$9,0))*Paid_occupancy/Unit_scale</f>
        <v>109.85039999999999</v>
      </c>
    </row>
    <row r="538" spans="1:23" ht="15" customHeight="1" x14ac:dyDescent="0.2">
      <c r="A538" s="4" t="s">
        <v>2141</v>
      </c>
      <c r="C538" s="48">
        <f>IT_load_MW*OM_fixed+Insurance_rate*Calculations!$C$6+INDEX(Assumptions!$O$50:$O$54,$C$539,1)*($C$541+Calculations!$C$6)*(1-Prop_tax_abatement)</f>
        <v>90.754999999999995</v>
      </c>
    </row>
    <row r="539" spans="1:23" ht="15" customHeight="1" x14ac:dyDescent="0.2">
      <c r="A539" s="4" t="s">
        <v>2142</v>
      </c>
      <c r="C539" s="48">
        <f>MATCH($B$533,Assumptions!$B$50:$B$54,0)</f>
        <v>3</v>
      </c>
    </row>
    <row r="540" spans="1:23" ht="15" customHeight="1" x14ac:dyDescent="0.2">
      <c r="A540" s="4" t="s">
        <v>2143</v>
      </c>
      <c r="C540" s="28">
        <f>INDEX(Assumptions!$L$50:$L$54,MATCH($B$533,Assumptions!$B$50:$B$54,0),1)</f>
        <v>0.25</v>
      </c>
    </row>
    <row r="541" spans="1:23" ht="15" customHeight="1" x14ac:dyDescent="0.2">
      <c r="A541" s="4" t="s">
        <v>2144</v>
      </c>
      <c r="C541" s="48">
        <f>IT_load_MW*(Facility_capex_MW+INDEX(Assumptions!$N$50:$N$54,$C$539,1))</f>
        <v>1750</v>
      </c>
    </row>
    <row r="542" spans="1:23" ht="15" customHeight="1" x14ac:dyDescent="0.2">
      <c r="A542" s="4" t="s">
        <v>2145</v>
      </c>
      <c r="C542" s="50">
        <f>Calculations!$C$6</f>
        <v>2520</v>
      </c>
    </row>
    <row r="543" spans="1:23" ht="15" customHeight="1" x14ac:dyDescent="0.2">
      <c r="A543" s="4" t="s">
        <v>2146</v>
      </c>
      <c r="C543" s="48">
        <f>IT_load_MW*Assumptions!$G$12*Hours_per_year*Paid_occupancy/Unit_scale*Compute_P0</f>
        <v>2636.4096000000004</v>
      </c>
    </row>
    <row r="544" spans="1:23" ht="15" customHeight="1" x14ac:dyDescent="0.2">
      <c r="A544" s="4" t="s">
        <v>2147</v>
      </c>
      <c r="D544" s="4">
        <f t="shared" ref="D544:W544" si="106">IF(D$3&lt;$C$534,0,IF(D$3&lt;=$C$534+GPU_life-1,1,0))</f>
        <v>1</v>
      </c>
      <c r="E544" s="4">
        <f t="shared" si="106"/>
        <v>1</v>
      </c>
      <c r="F544" s="4">
        <f t="shared" si="106"/>
        <v>1</v>
      </c>
      <c r="G544" s="4">
        <f t="shared" si="106"/>
        <v>1</v>
      </c>
      <c r="H544" s="4">
        <f t="shared" si="106"/>
        <v>1</v>
      </c>
      <c r="I544" s="4">
        <f t="shared" si="106"/>
        <v>0</v>
      </c>
      <c r="J544" s="4">
        <f t="shared" si="106"/>
        <v>0</v>
      </c>
      <c r="K544" s="4">
        <f t="shared" si="106"/>
        <v>0</v>
      </c>
      <c r="L544" s="4">
        <f t="shared" si="106"/>
        <v>0</v>
      </c>
      <c r="M544" s="4">
        <f t="shared" si="106"/>
        <v>0</v>
      </c>
      <c r="N544" s="4">
        <f t="shared" si="106"/>
        <v>0</v>
      </c>
      <c r="O544" s="4">
        <f t="shared" si="106"/>
        <v>0</v>
      </c>
      <c r="P544" s="4">
        <f t="shared" si="106"/>
        <v>0</v>
      </c>
      <c r="Q544" s="4">
        <f t="shared" si="106"/>
        <v>0</v>
      </c>
      <c r="R544" s="4">
        <f t="shared" si="106"/>
        <v>0</v>
      </c>
      <c r="S544" s="4">
        <f t="shared" si="106"/>
        <v>0</v>
      </c>
      <c r="T544" s="4">
        <f t="shared" si="106"/>
        <v>0</v>
      </c>
      <c r="U544" s="4">
        <f t="shared" si="106"/>
        <v>0</v>
      </c>
      <c r="V544" s="4">
        <f t="shared" si="106"/>
        <v>0</v>
      </c>
      <c r="W544" s="4">
        <f t="shared" si="106"/>
        <v>0</v>
      </c>
    </row>
    <row r="545" spans="1:23" ht="15" customHeight="1" x14ac:dyDescent="0.2">
      <c r="A545" s="4" t="s">
        <v>35</v>
      </c>
      <c r="D545" s="4">
        <f t="shared" ref="D545:W545" si="107">--(D544&gt;0)</f>
        <v>1</v>
      </c>
      <c r="E545" s="4">
        <f t="shared" si="107"/>
        <v>1</v>
      </c>
      <c r="F545" s="4">
        <f t="shared" si="107"/>
        <v>1</v>
      </c>
      <c r="G545" s="4">
        <f t="shared" si="107"/>
        <v>1</v>
      </c>
      <c r="H545" s="4">
        <f t="shared" si="107"/>
        <v>1</v>
      </c>
      <c r="I545" s="4">
        <f t="shared" si="107"/>
        <v>0</v>
      </c>
      <c r="J545" s="4">
        <f t="shared" si="107"/>
        <v>0</v>
      </c>
      <c r="K545" s="4">
        <f t="shared" si="107"/>
        <v>0</v>
      </c>
      <c r="L545" s="4">
        <f t="shared" si="107"/>
        <v>0</v>
      </c>
      <c r="M545" s="4">
        <f t="shared" si="107"/>
        <v>0</v>
      </c>
      <c r="N545" s="4">
        <f t="shared" si="107"/>
        <v>0</v>
      </c>
      <c r="O545" s="4">
        <f t="shared" si="107"/>
        <v>0</v>
      </c>
      <c r="P545" s="4">
        <f t="shared" si="107"/>
        <v>0</v>
      </c>
      <c r="Q545" s="4">
        <f t="shared" si="107"/>
        <v>0</v>
      </c>
      <c r="R545" s="4">
        <f t="shared" si="107"/>
        <v>0</v>
      </c>
      <c r="S545" s="4">
        <f t="shared" si="107"/>
        <v>0</v>
      </c>
      <c r="T545" s="4">
        <f t="shared" si="107"/>
        <v>0</v>
      </c>
      <c r="U545" s="4">
        <f t="shared" si="107"/>
        <v>0</v>
      </c>
      <c r="V545" s="4">
        <f t="shared" si="107"/>
        <v>0</v>
      </c>
      <c r="W545" s="4">
        <f t="shared" si="107"/>
        <v>0</v>
      </c>
    </row>
    <row r="546" spans="1:23" ht="15" customHeight="1" x14ac:dyDescent="0.2">
      <c r="A546" s="4" t="s">
        <v>2148</v>
      </c>
      <c r="D546" s="28">
        <f t="shared" ref="D546:W546" si="108">D545*(1-(1-Ramp_yr1)*((D$3-$C$534)=0)-(1-Ramp_yr2)*((D$3-$C$534)=1))</f>
        <v>0.65</v>
      </c>
      <c r="E546" s="28">
        <f t="shared" si="108"/>
        <v>0.85</v>
      </c>
      <c r="F546" s="28">
        <f t="shared" si="108"/>
        <v>1</v>
      </c>
      <c r="G546" s="28">
        <f t="shared" si="108"/>
        <v>1</v>
      </c>
      <c r="H546" s="28">
        <f t="shared" si="108"/>
        <v>1</v>
      </c>
      <c r="I546" s="28">
        <f t="shared" si="108"/>
        <v>0</v>
      </c>
      <c r="J546" s="28">
        <f t="shared" si="108"/>
        <v>0</v>
      </c>
      <c r="K546" s="28">
        <f t="shared" si="108"/>
        <v>0</v>
      </c>
      <c r="L546" s="28">
        <f t="shared" si="108"/>
        <v>0</v>
      </c>
      <c r="M546" s="28">
        <f t="shared" si="108"/>
        <v>0</v>
      </c>
      <c r="N546" s="28">
        <f t="shared" si="108"/>
        <v>0</v>
      </c>
      <c r="O546" s="28">
        <f t="shared" si="108"/>
        <v>0</v>
      </c>
      <c r="P546" s="28">
        <f t="shared" si="108"/>
        <v>0</v>
      </c>
      <c r="Q546" s="28">
        <f t="shared" si="108"/>
        <v>0</v>
      </c>
      <c r="R546" s="28">
        <f t="shared" si="108"/>
        <v>0</v>
      </c>
      <c r="S546" s="28">
        <f t="shared" si="108"/>
        <v>0</v>
      </c>
      <c r="T546" s="28">
        <f t="shared" si="108"/>
        <v>0</v>
      </c>
      <c r="U546" s="28">
        <f t="shared" si="108"/>
        <v>0</v>
      </c>
      <c r="V546" s="28">
        <f t="shared" si="108"/>
        <v>0</v>
      </c>
      <c r="W546" s="28">
        <f t="shared" si="108"/>
        <v>0</v>
      </c>
    </row>
    <row r="547" spans="1:23" ht="15" customHeight="1" x14ac:dyDescent="0.2">
      <c r="A547" s="4" t="s">
        <v>2149</v>
      </c>
      <c r="D547" s="48">
        <f>IF(Assumptions!$B$7="Contracted",MAX(Price_floor,Compute_P0*(1-Price_decline)^$C$555),MAX(Price_floor,Compute_P0*(1-Price_decline)^MAX($C$555+D$3-$C$534)))</f>
        <v>5.7</v>
      </c>
      <c r="E547" s="48">
        <f>IF(Assumptions!$B$7="Contracted",MAX(Price_floor,Compute_P0*(1-Price_decline)^$C$555),MAX(Price_floor,Compute_P0*(1-Price_decline)^MAX($C$555+E$3-$C$534)))</f>
        <v>5.7</v>
      </c>
      <c r="F547" s="48">
        <f>IF(Assumptions!$B$7="Contracted",MAX(Price_floor,Compute_P0*(1-Price_decline)^$C$555),MAX(Price_floor,Compute_P0*(1-Price_decline)^MAX($C$555+F$3-$C$534)))</f>
        <v>5.7</v>
      </c>
      <c r="G547" s="48">
        <f>IF(Assumptions!$B$7="Contracted",MAX(Price_floor,Compute_P0*(1-Price_decline)^$C$555),MAX(Price_floor,Compute_P0*(1-Price_decline)^MAX($C$555+G$3-$C$534)))</f>
        <v>5.7</v>
      </c>
      <c r="H547" s="48">
        <f>IF(Assumptions!$B$7="Contracted",MAX(Price_floor,Compute_P0*(1-Price_decline)^$C$555),MAX(Price_floor,Compute_P0*(1-Price_decline)^MAX($C$555+H$3-$C$534)))</f>
        <v>5.7</v>
      </c>
      <c r="I547" s="48">
        <f>IF(Assumptions!$B$7="Contracted",MAX(Price_floor,Compute_P0*(1-Price_decline)^$C$555),MAX(Price_floor,Compute_P0*(1-Price_decline)^MAX($C$555+I$3-$C$534)))</f>
        <v>5.7</v>
      </c>
      <c r="J547" s="48">
        <f>IF(Assumptions!$B$7="Contracted",MAX(Price_floor,Compute_P0*(1-Price_decline)^$C$555),MAX(Price_floor,Compute_P0*(1-Price_decline)^MAX($C$555+J$3-$C$534)))</f>
        <v>5.7</v>
      </c>
      <c r="K547" s="48">
        <f>IF(Assumptions!$B$7="Contracted",MAX(Price_floor,Compute_P0*(1-Price_decline)^$C$555),MAX(Price_floor,Compute_P0*(1-Price_decline)^MAX($C$555+K$3-$C$534)))</f>
        <v>5.7</v>
      </c>
      <c r="L547" s="48">
        <f>IF(Assumptions!$B$7="Contracted",MAX(Price_floor,Compute_P0*(1-Price_decline)^$C$555),MAX(Price_floor,Compute_P0*(1-Price_decline)^MAX($C$555+L$3-$C$534)))</f>
        <v>5.7</v>
      </c>
      <c r="M547" s="48">
        <f>IF(Assumptions!$B$7="Contracted",MAX(Price_floor,Compute_P0*(1-Price_decline)^$C$555),MAX(Price_floor,Compute_P0*(1-Price_decline)^MAX($C$555+M$3-$C$534)))</f>
        <v>5.7</v>
      </c>
      <c r="N547" s="48">
        <f>IF(Assumptions!$B$7="Contracted",MAX(Price_floor,Compute_P0*(1-Price_decline)^$C$555),MAX(Price_floor,Compute_P0*(1-Price_decline)^MAX($C$555+N$3-$C$534)))</f>
        <v>5.7</v>
      </c>
      <c r="O547" s="48">
        <f>IF(Assumptions!$B$7="Contracted",MAX(Price_floor,Compute_P0*(1-Price_decline)^$C$555),MAX(Price_floor,Compute_P0*(1-Price_decline)^MAX($C$555+O$3-$C$534)))</f>
        <v>5.7</v>
      </c>
      <c r="P547" s="48">
        <f>IF(Assumptions!$B$7="Contracted",MAX(Price_floor,Compute_P0*(1-Price_decline)^$C$555),MAX(Price_floor,Compute_P0*(1-Price_decline)^MAX($C$555+P$3-$C$534)))</f>
        <v>5.7</v>
      </c>
      <c r="Q547" s="48">
        <f>IF(Assumptions!$B$7="Contracted",MAX(Price_floor,Compute_P0*(1-Price_decline)^$C$555),MAX(Price_floor,Compute_P0*(1-Price_decline)^MAX($C$555+Q$3-$C$534)))</f>
        <v>5.7</v>
      </c>
      <c r="R547" s="48">
        <f>IF(Assumptions!$B$7="Contracted",MAX(Price_floor,Compute_P0*(1-Price_decline)^$C$555),MAX(Price_floor,Compute_P0*(1-Price_decline)^MAX($C$555+R$3-$C$534)))</f>
        <v>5.7</v>
      </c>
      <c r="S547" s="48">
        <f>IF(Assumptions!$B$7="Contracted",MAX(Price_floor,Compute_P0*(1-Price_decline)^$C$555),MAX(Price_floor,Compute_P0*(1-Price_decline)^MAX($C$555+S$3-$C$534)))</f>
        <v>5.7</v>
      </c>
      <c r="T547" s="48">
        <f>IF(Assumptions!$B$7="Contracted",MAX(Price_floor,Compute_P0*(1-Price_decline)^$C$555),MAX(Price_floor,Compute_P0*(1-Price_decline)^MAX($C$555+T$3-$C$534)))</f>
        <v>5.7</v>
      </c>
      <c r="U547" s="48">
        <f>IF(Assumptions!$B$7="Contracted",MAX(Price_floor,Compute_P0*(1-Price_decline)^$C$555),MAX(Price_floor,Compute_P0*(1-Price_decline)^MAX($C$555+U$3-$C$534)))</f>
        <v>5.7</v>
      </c>
      <c r="V547" s="48">
        <f>IF(Assumptions!$B$7="Contracted",MAX(Price_floor,Compute_P0*(1-Price_decline)^$C$555),MAX(Price_floor,Compute_P0*(1-Price_decline)^MAX($C$555+V$3-$C$534)))</f>
        <v>5.7</v>
      </c>
      <c r="W547" s="48">
        <f>IF(Assumptions!$B$7="Contracted",MAX(Price_floor,Compute_P0*(1-Price_decline)^$C$555),MAX(Price_floor,Compute_P0*(1-Price_decline)^MAX($C$555+W$3-$C$534)))</f>
        <v>5.7</v>
      </c>
    </row>
    <row r="548" spans="1:23" ht="15" customHeight="1" x14ac:dyDescent="0.2">
      <c r="A548" s="4" t="s">
        <v>2150</v>
      </c>
      <c r="D548" s="54">
        <f t="shared" ref="D548:W548" si="109">$C$543*D547/Compute_P0*D546</f>
        <v>1713.6662400000002</v>
      </c>
      <c r="E548" s="54">
        <f t="shared" si="109"/>
        <v>2240.9481600000004</v>
      </c>
      <c r="F548" s="54">
        <f t="shared" si="109"/>
        <v>2636.4096000000004</v>
      </c>
      <c r="G548" s="54">
        <f t="shared" si="109"/>
        <v>2636.4096000000004</v>
      </c>
      <c r="H548" s="54">
        <f t="shared" si="109"/>
        <v>2636.4096000000004</v>
      </c>
      <c r="I548" s="54">
        <f t="shared" si="109"/>
        <v>0</v>
      </c>
      <c r="J548" s="54">
        <f t="shared" si="109"/>
        <v>0</v>
      </c>
      <c r="K548" s="54">
        <f t="shared" si="109"/>
        <v>0</v>
      </c>
      <c r="L548" s="54">
        <f t="shared" si="109"/>
        <v>0</v>
      </c>
      <c r="M548" s="54">
        <f t="shared" si="109"/>
        <v>0</v>
      </c>
      <c r="N548" s="54">
        <f t="shared" si="109"/>
        <v>0</v>
      </c>
      <c r="O548" s="54">
        <f t="shared" si="109"/>
        <v>0</v>
      </c>
      <c r="P548" s="54">
        <f t="shared" si="109"/>
        <v>0</v>
      </c>
      <c r="Q548" s="54">
        <f t="shared" si="109"/>
        <v>0</v>
      </c>
      <c r="R548" s="54">
        <f t="shared" si="109"/>
        <v>0</v>
      </c>
      <c r="S548" s="54">
        <f t="shared" si="109"/>
        <v>0</v>
      </c>
      <c r="T548" s="54">
        <f t="shared" si="109"/>
        <v>0</v>
      </c>
      <c r="U548" s="54">
        <f t="shared" si="109"/>
        <v>0</v>
      </c>
      <c r="V548" s="54">
        <f t="shared" si="109"/>
        <v>0</v>
      </c>
      <c r="W548" s="54">
        <f t="shared" si="109"/>
        <v>0</v>
      </c>
    </row>
    <row r="549" spans="1:23" ht="15" customHeight="1" x14ac:dyDescent="0.2">
      <c r="A549" s="4" t="s">
        <v>42</v>
      </c>
      <c r="D549" s="54">
        <f t="shared" ref="D549:W549" si="110">D548-$C$537*D546-$C$538*D545</f>
        <v>1551.5084800000004</v>
      </c>
      <c r="E549" s="54">
        <f t="shared" si="110"/>
        <v>2056.8203200000003</v>
      </c>
      <c r="F549" s="54">
        <f t="shared" si="110"/>
        <v>2435.8042000000005</v>
      </c>
      <c r="G549" s="54">
        <f t="shared" si="110"/>
        <v>2435.8042000000005</v>
      </c>
      <c r="H549" s="54">
        <f t="shared" si="110"/>
        <v>2435.8042000000005</v>
      </c>
      <c r="I549" s="54">
        <f t="shared" si="110"/>
        <v>0</v>
      </c>
      <c r="J549" s="54">
        <f t="shared" si="110"/>
        <v>0</v>
      </c>
      <c r="K549" s="54">
        <f t="shared" si="110"/>
        <v>0</v>
      </c>
      <c r="L549" s="54">
        <f t="shared" si="110"/>
        <v>0</v>
      </c>
      <c r="M549" s="54">
        <f t="shared" si="110"/>
        <v>0</v>
      </c>
      <c r="N549" s="54">
        <f t="shared" si="110"/>
        <v>0</v>
      </c>
      <c r="O549" s="54">
        <f t="shared" si="110"/>
        <v>0</v>
      </c>
      <c r="P549" s="54">
        <f t="shared" si="110"/>
        <v>0</v>
      </c>
      <c r="Q549" s="54">
        <f t="shared" si="110"/>
        <v>0</v>
      </c>
      <c r="R549" s="54">
        <f t="shared" si="110"/>
        <v>0</v>
      </c>
      <c r="S549" s="54">
        <f t="shared" si="110"/>
        <v>0</v>
      </c>
      <c r="T549" s="54">
        <f t="shared" si="110"/>
        <v>0</v>
      </c>
      <c r="U549" s="54">
        <f t="shared" si="110"/>
        <v>0</v>
      </c>
      <c r="V549" s="54">
        <f t="shared" si="110"/>
        <v>0</v>
      </c>
      <c r="W549" s="54">
        <f t="shared" si="110"/>
        <v>0</v>
      </c>
    </row>
    <row r="550" spans="1:23" ht="15" customHeight="1" x14ac:dyDescent="0.2">
      <c r="A550" s="4" t="s">
        <v>2151</v>
      </c>
      <c r="D550" s="54">
        <f>-($C$541*Calculations!$C$15+$C$542/GPU_life)*D545</f>
        <v>-615.70833333333337</v>
      </c>
      <c r="E550" s="54">
        <f>-($C$541*Calculations!$C$15+$C$542/GPU_life)*E545</f>
        <v>-615.70833333333337</v>
      </c>
      <c r="F550" s="54">
        <f>-($C$541*Calculations!$C$15+$C$542/GPU_life)*F545</f>
        <v>-615.70833333333337</v>
      </c>
      <c r="G550" s="54">
        <f>-($C$541*Calculations!$C$15+$C$542/GPU_life)*G545</f>
        <v>-615.70833333333337</v>
      </c>
      <c r="H550" s="54">
        <f>-($C$541*Calculations!$C$15+$C$542/GPU_life)*H545</f>
        <v>-615.70833333333337</v>
      </c>
      <c r="I550" s="54">
        <f>-($C$541*Calculations!$C$15+$C$542/GPU_life)*I545</f>
        <v>0</v>
      </c>
      <c r="J550" s="54">
        <f>-($C$541*Calculations!$C$15+$C$542/GPU_life)*J545</f>
        <v>0</v>
      </c>
      <c r="K550" s="54">
        <f>-($C$541*Calculations!$C$15+$C$542/GPU_life)*K545</f>
        <v>0</v>
      </c>
      <c r="L550" s="54">
        <f>-($C$541*Calculations!$C$15+$C$542/GPU_life)*L545</f>
        <v>0</v>
      </c>
      <c r="M550" s="54">
        <f>-($C$541*Calculations!$C$15+$C$542/GPU_life)*M545</f>
        <v>0</v>
      </c>
      <c r="N550" s="54">
        <f>-($C$541*Calculations!$C$15+$C$542/GPU_life)*N545</f>
        <v>0</v>
      </c>
      <c r="O550" s="54">
        <f>-($C$541*Calculations!$C$15+$C$542/GPU_life)*O545</f>
        <v>0</v>
      </c>
      <c r="P550" s="54">
        <f>-($C$541*Calculations!$C$15+$C$542/GPU_life)*P545</f>
        <v>0</v>
      </c>
      <c r="Q550" s="54">
        <f>-($C$541*Calculations!$C$15+$C$542/GPU_life)*Q545</f>
        <v>0</v>
      </c>
      <c r="R550" s="54">
        <f>-($C$541*Calculations!$C$15+$C$542/GPU_life)*R545</f>
        <v>0</v>
      </c>
      <c r="S550" s="54">
        <f>-($C$541*Calculations!$C$15+$C$542/GPU_life)*S545</f>
        <v>0</v>
      </c>
      <c r="T550" s="54">
        <f>-($C$541*Calculations!$C$15+$C$542/GPU_life)*T545</f>
        <v>0</v>
      </c>
      <c r="U550" s="54">
        <f>-($C$541*Calculations!$C$15+$C$542/GPU_life)*U545</f>
        <v>0</v>
      </c>
      <c r="V550" s="54">
        <f>-($C$541*Calculations!$C$15+$C$542/GPU_life)*V545</f>
        <v>0</v>
      </c>
      <c r="W550" s="54">
        <f>-($C$541*Calculations!$C$15+$C$542/GPU_life)*W545</f>
        <v>0</v>
      </c>
    </row>
    <row r="551" spans="1:23" ht="15" customHeight="1" x14ac:dyDescent="0.2">
      <c r="A551" s="4" t="s">
        <v>2152</v>
      </c>
      <c r="D551" s="54">
        <f t="shared" ref="D551:W551" si="111">-$C$540*MAX(D549+D550,0)</f>
        <v>-233.95003666666676</v>
      </c>
      <c r="E551" s="54">
        <f t="shared" si="111"/>
        <v>-360.2779966666667</v>
      </c>
      <c r="F551" s="54">
        <f t="shared" si="111"/>
        <v>-455.02396666666675</v>
      </c>
      <c r="G551" s="54">
        <f t="shared" si="111"/>
        <v>-455.02396666666675</v>
      </c>
      <c r="H551" s="54">
        <f t="shared" si="111"/>
        <v>-455.02396666666675</v>
      </c>
      <c r="I551" s="54">
        <f t="shared" si="111"/>
        <v>0</v>
      </c>
      <c r="J551" s="54">
        <f t="shared" si="111"/>
        <v>0</v>
      </c>
      <c r="K551" s="54">
        <f t="shared" si="111"/>
        <v>0</v>
      </c>
      <c r="L551" s="54">
        <f t="shared" si="111"/>
        <v>0</v>
      </c>
      <c r="M551" s="54">
        <f t="shared" si="111"/>
        <v>0</v>
      </c>
      <c r="N551" s="54">
        <f t="shared" si="111"/>
        <v>0</v>
      </c>
      <c r="O551" s="54">
        <f t="shared" si="111"/>
        <v>0</v>
      </c>
      <c r="P551" s="54">
        <f t="shared" si="111"/>
        <v>0</v>
      </c>
      <c r="Q551" s="54">
        <f t="shared" si="111"/>
        <v>0</v>
      </c>
      <c r="R551" s="54">
        <f t="shared" si="111"/>
        <v>0</v>
      </c>
      <c r="S551" s="54">
        <f t="shared" si="111"/>
        <v>0</v>
      </c>
      <c r="T551" s="54">
        <f t="shared" si="111"/>
        <v>0</v>
      </c>
      <c r="U551" s="54">
        <f t="shared" si="111"/>
        <v>0</v>
      </c>
      <c r="V551" s="54">
        <f t="shared" si="111"/>
        <v>0</v>
      </c>
      <c r="W551" s="54">
        <f t="shared" si="111"/>
        <v>0</v>
      </c>
    </row>
    <row r="552" spans="1:23" ht="15" customHeight="1" x14ac:dyDescent="0.2">
      <c r="A552" s="4" t="s">
        <v>2153</v>
      </c>
      <c r="D552" s="54">
        <f>D549+D551-$C$541*IF($C$534=0,--(D$3=0),--(D$3&lt;=$C$534-1)/$C$534)-$C$541*Assumptions!$F$38*IF(AND(D$3&gt;=1,D$3&lt;=$C$534),1,0)-$C$542*(D$3=$C$534)+($C$541*Facility_salvage_pct+$C$542*GPU_salvage_pct*(1-$C$540))*(D$3=$C$534+GPU_life-1)</f>
        <v>-2952.4415566666667</v>
      </c>
      <c r="E552" s="54">
        <f>E549+E551-$C$541*IF($C$534=0,--(E$3=0),--(E$3&lt;=$C$534-1)/$C$534)-$C$541*Assumptions!$F$38*IF(AND(E$3&gt;=1,E$3&lt;=$C$534),1,0)-$C$542*(E$3=$C$534)+($C$541*Facility_salvage_pct+$C$542*GPU_salvage_pct*(1-$C$540))*(E$3=$C$534+GPU_life-1)</f>
        <v>1696.5423233333336</v>
      </c>
      <c r="F552" s="54">
        <f>F549+F551-$C$541*IF($C$534=0,--(F$3=0),--(F$3&lt;=$C$534-1)/$C$534)-$C$541*Assumptions!$F$38*IF(AND(F$3&gt;=1,F$3&lt;=$C$534),1,0)-$C$542*(F$3=$C$534)+($C$541*Facility_salvage_pct+$C$542*GPU_salvage_pct*(1-$C$540))*(F$3=$C$534+GPU_life-1)</f>
        <v>1980.7802333333339</v>
      </c>
      <c r="G552" s="54">
        <f>G549+G551-$C$541*IF($C$534=0,--(G$3=0),--(G$3&lt;=$C$534-1)/$C$534)-$C$541*Assumptions!$F$38*IF(AND(G$3&gt;=1,G$3&lt;=$C$534),1,0)-$C$542*(G$3=$C$534)+($C$541*Facility_salvage_pct+$C$542*GPU_salvage_pct*(1-$C$540))*(G$3=$C$534+GPU_life-1)</f>
        <v>1980.7802333333339</v>
      </c>
      <c r="H552" s="54">
        <f>H549+H551-$C$541*IF($C$534=0,--(H$3=0),--(H$3&lt;=$C$534-1)/$C$534)-$C$541*Assumptions!$F$38*IF(AND(H$3&gt;=1,H$3&lt;=$C$534),1,0)-$C$542*(H$3=$C$534)+($C$541*Facility_salvage_pct+$C$542*GPU_salvage_pct*(1-$C$540))*(H$3=$C$534+GPU_life-1)</f>
        <v>2957.2802333333339</v>
      </c>
      <c r="I552" s="54">
        <f>I549+I551-$C$541*IF($C$534=0,--(I$3=0),--(I$3&lt;=$C$534-1)/$C$534)-$C$541*Assumptions!$F$38*IF(AND(I$3&gt;=1,I$3&lt;=$C$534),1,0)-$C$542*(I$3=$C$534)+($C$541*Facility_salvage_pct+$C$542*GPU_salvage_pct*(1-$C$540))*(I$3=$C$534+GPU_life-1)</f>
        <v>0</v>
      </c>
      <c r="J552" s="54">
        <f>J549+J551-$C$541*IF($C$534=0,--(J$3=0),--(J$3&lt;=$C$534-1)/$C$534)-$C$541*Assumptions!$F$38*IF(AND(J$3&gt;=1,J$3&lt;=$C$534),1,0)-$C$542*(J$3=$C$534)+($C$541*Facility_salvage_pct+$C$542*GPU_salvage_pct*(1-$C$540))*(J$3=$C$534+GPU_life-1)</f>
        <v>0</v>
      </c>
      <c r="K552" s="54">
        <f>K549+K551-$C$541*IF($C$534=0,--(K$3=0),--(K$3&lt;=$C$534-1)/$C$534)-$C$541*Assumptions!$F$38*IF(AND(K$3&gt;=1,K$3&lt;=$C$534),1,0)-$C$542*(K$3=$C$534)+($C$541*Facility_salvage_pct+$C$542*GPU_salvage_pct*(1-$C$540))*(K$3=$C$534+GPU_life-1)</f>
        <v>0</v>
      </c>
      <c r="L552" s="54">
        <f>L549+L551-$C$541*IF($C$534=0,--(L$3=0),--(L$3&lt;=$C$534-1)/$C$534)-$C$541*Assumptions!$F$38*IF(AND(L$3&gt;=1,L$3&lt;=$C$534),1,0)-$C$542*(L$3=$C$534)+($C$541*Facility_salvage_pct+$C$542*GPU_salvage_pct*(1-$C$540))*(L$3=$C$534+GPU_life-1)</f>
        <v>0</v>
      </c>
      <c r="M552" s="54">
        <f>M549+M551-$C$541*IF($C$534=0,--(M$3=0),--(M$3&lt;=$C$534-1)/$C$534)-$C$541*Assumptions!$F$38*IF(AND(M$3&gt;=1,M$3&lt;=$C$534),1,0)-$C$542*(M$3=$C$534)+($C$541*Facility_salvage_pct+$C$542*GPU_salvage_pct*(1-$C$540))*(M$3=$C$534+GPU_life-1)</f>
        <v>0</v>
      </c>
      <c r="N552" s="54">
        <f>N549+N551-$C$541*IF($C$534=0,--(N$3=0),--(N$3&lt;=$C$534-1)/$C$534)-$C$541*Assumptions!$F$38*IF(AND(N$3&gt;=1,N$3&lt;=$C$534),1,0)-$C$542*(N$3=$C$534)+($C$541*Facility_salvage_pct+$C$542*GPU_salvage_pct*(1-$C$540))*(N$3=$C$534+GPU_life-1)</f>
        <v>0</v>
      </c>
      <c r="O552" s="54">
        <f>O549+O551-$C$541*IF($C$534=0,--(O$3=0),--(O$3&lt;=$C$534-1)/$C$534)-$C$541*Assumptions!$F$38*IF(AND(O$3&gt;=1,O$3&lt;=$C$534),1,0)-$C$542*(O$3=$C$534)+($C$541*Facility_salvage_pct+$C$542*GPU_salvage_pct*(1-$C$540))*(O$3=$C$534+GPU_life-1)</f>
        <v>0</v>
      </c>
      <c r="P552" s="54">
        <f>P549+P551-$C$541*IF($C$534=0,--(P$3=0),--(P$3&lt;=$C$534-1)/$C$534)-$C$541*Assumptions!$F$38*IF(AND(P$3&gt;=1,P$3&lt;=$C$534),1,0)-$C$542*(P$3=$C$534)+($C$541*Facility_salvage_pct+$C$542*GPU_salvage_pct*(1-$C$540))*(P$3=$C$534+GPU_life-1)</f>
        <v>0</v>
      </c>
      <c r="Q552" s="54">
        <f>Q549+Q551-$C$541*IF($C$534=0,--(Q$3=0),--(Q$3&lt;=$C$534-1)/$C$534)-$C$541*Assumptions!$F$38*IF(AND(Q$3&gt;=1,Q$3&lt;=$C$534),1,0)-$C$542*(Q$3=$C$534)+($C$541*Facility_salvage_pct+$C$542*GPU_salvage_pct*(1-$C$540))*(Q$3=$C$534+GPU_life-1)</f>
        <v>0</v>
      </c>
      <c r="R552" s="54">
        <f>R549+R551-$C$541*IF($C$534=0,--(R$3=0),--(R$3&lt;=$C$534-1)/$C$534)-$C$541*Assumptions!$F$38*IF(AND(R$3&gt;=1,R$3&lt;=$C$534),1,0)-$C$542*(R$3=$C$534)+($C$541*Facility_salvage_pct+$C$542*GPU_salvage_pct*(1-$C$540))*(R$3=$C$534+GPU_life-1)</f>
        <v>0</v>
      </c>
      <c r="S552" s="54">
        <f>S549+S551-$C$541*IF($C$534=0,--(S$3=0),--(S$3&lt;=$C$534-1)/$C$534)-$C$541*Assumptions!$F$38*IF(AND(S$3&gt;=1,S$3&lt;=$C$534),1,0)-$C$542*(S$3=$C$534)+($C$541*Facility_salvage_pct+$C$542*GPU_salvage_pct*(1-$C$540))*(S$3=$C$534+GPU_life-1)</f>
        <v>0</v>
      </c>
      <c r="T552" s="54">
        <f>T549+T551-$C$541*IF($C$534=0,--(T$3=0),--(T$3&lt;=$C$534-1)/$C$534)-$C$541*Assumptions!$F$38*IF(AND(T$3&gt;=1,T$3&lt;=$C$534),1,0)-$C$542*(T$3=$C$534)+($C$541*Facility_salvage_pct+$C$542*GPU_salvage_pct*(1-$C$540))*(T$3=$C$534+GPU_life-1)</f>
        <v>0</v>
      </c>
      <c r="U552" s="54">
        <f>U549+U551-$C$541*IF($C$534=0,--(U$3=0),--(U$3&lt;=$C$534-1)/$C$534)-$C$541*Assumptions!$F$38*IF(AND(U$3&gt;=1,U$3&lt;=$C$534),1,0)-$C$542*(U$3=$C$534)+($C$541*Facility_salvage_pct+$C$542*GPU_salvage_pct*(1-$C$540))*(U$3=$C$534+GPU_life-1)</f>
        <v>0</v>
      </c>
      <c r="V552" s="54">
        <f>V549+V551-$C$541*IF($C$534=0,--(V$3=0),--(V$3&lt;=$C$534-1)/$C$534)-$C$541*Assumptions!$F$38*IF(AND(V$3&gt;=1,V$3&lt;=$C$534),1,0)-$C$542*(V$3=$C$534)+($C$541*Facility_salvage_pct+$C$542*GPU_salvage_pct*(1-$C$540))*(V$3=$C$534+GPU_life-1)</f>
        <v>0</v>
      </c>
      <c r="W552" s="54">
        <f>W549+W551-$C$541*IF($C$534=0,--(W$3=0),--(W$3&lt;=$C$534-1)/$C$534)-$C$541*Assumptions!$F$38*IF(AND(W$3&gt;=1,W$3&lt;=$C$534),1,0)-$C$542*(W$3=$C$534)+($C$541*Facility_salvage_pct+$C$542*GPU_salvage_pct*(1-$C$540))*(W$3=$C$534+GPU_life-1)</f>
        <v>0</v>
      </c>
    </row>
    <row r="553" spans="1:23" ht="15" customHeight="1" x14ac:dyDescent="0.2">
      <c r="A553" s="4" t="s">
        <v>2154</v>
      </c>
      <c r="D553" s="54">
        <f t="shared" ref="D553:W553" si="112">D552*$C$536^D$3</f>
        <v>-2952.4415566666667</v>
      </c>
      <c r="E553" s="54">
        <f t="shared" si="112"/>
        <v>1573.2031930019784</v>
      </c>
      <c r="F553" s="54">
        <f t="shared" si="112"/>
        <v>1703.2426952906019</v>
      </c>
      <c r="G553" s="54">
        <f t="shared" si="112"/>
        <v>1579.4164459297126</v>
      </c>
      <c r="H553" s="54">
        <f t="shared" si="112"/>
        <v>2186.6182256749175</v>
      </c>
      <c r="I553" s="54">
        <f t="shared" si="112"/>
        <v>0</v>
      </c>
      <c r="J553" s="54">
        <f t="shared" si="112"/>
        <v>0</v>
      </c>
      <c r="K553" s="54">
        <f t="shared" si="112"/>
        <v>0</v>
      </c>
      <c r="L553" s="54">
        <f t="shared" si="112"/>
        <v>0</v>
      </c>
      <c r="M553" s="54">
        <f t="shared" si="112"/>
        <v>0</v>
      </c>
      <c r="N553" s="54">
        <f t="shared" si="112"/>
        <v>0</v>
      </c>
      <c r="O553" s="54">
        <f t="shared" si="112"/>
        <v>0</v>
      </c>
      <c r="P553" s="54">
        <f t="shared" si="112"/>
        <v>0</v>
      </c>
      <c r="Q553" s="54">
        <f t="shared" si="112"/>
        <v>0</v>
      </c>
      <c r="R553" s="54">
        <f t="shared" si="112"/>
        <v>0</v>
      </c>
      <c r="S553" s="54">
        <f t="shared" si="112"/>
        <v>0</v>
      </c>
      <c r="T553" s="54">
        <f t="shared" si="112"/>
        <v>0</v>
      </c>
      <c r="U553" s="54">
        <f t="shared" si="112"/>
        <v>0</v>
      </c>
      <c r="V553" s="54">
        <f t="shared" si="112"/>
        <v>0</v>
      </c>
      <c r="W553" s="54">
        <f t="shared" si="112"/>
        <v>0</v>
      </c>
    </row>
    <row r="554" spans="1:23" ht="15" customHeight="1" x14ac:dyDescent="0.2">
      <c r="A554" s="4" t="s">
        <v>2155</v>
      </c>
      <c r="D554" s="54">
        <f t="shared" ref="D554:W554" si="113">(D548-$C$537*D546)*(1-$C$540)*$C$536^D$3</f>
        <v>1231.6976100000002</v>
      </c>
      <c r="E554" s="54">
        <f t="shared" si="113"/>
        <v>1493.5844677299706</v>
      </c>
      <c r="F554" s="54">
        <f t="shared" si="113"/>
        <v>1629.4122749716034</v>
      </c>
      <c r="G554" s="54">
        <f t="shared" si="113"/>
        <v>1510.9535190760419</v>
      </c>
      <c r="H554" s="54">
        <f t="shared" si="113"/>
        <v>1401.1067498850534</v>
      </c>
      <c r="I554" s="54">
        <f t="shared" si="113"/>
        <v>0</v>
      </c>
      <c r="J554" s="54">
        <f t="shared" si="113"/>
        <v>0</v>
      </c>
      <c r="K554" s="54">
        <f t="shared" si="113"/>
        <v>0</v>
      </c>
      <c r="L554" s="54">
        <f t="shared" si="113"/>
        <v>0</v>
      </c>
      <c r="M554" s="54">
        <f t="shared" si="113"/>
        <v>0</v>
      </c>
      <c r="N554" s="54">
        <f t="shared" si="113"/>
        <v>0</v>
      </c>
      <c r="O554" s="54">
        <f t="shared" si="113"/>
        <v>0</v>
      </c>
      <c r="P554" s="54">
        <f t="shared" si="113"/>
        <v>0</v>
      </c>
      <c r="Q554" s="54">
        <f t="shared" si="113"/>
        <v>0</v>
      </c>
      <c r="R554" s="54">
        <f t="shared" si="113"/>
        <v>0</v>
      </c>
      <c r="S554" s="54">
        <f t="shared" si="113"/>
        <v>0</v>
      </c>
      <c r="T554" s="54">
        <f t="shared" si="113"/>
        <v>0</v>
      </c>
      <c r="U554" s="54">
        <f t="shared" si="113"/>
        <v>0</v>
      </c>
      <c r="V554" s="54">
        <f t="shared" si="113"/>
        <v>0</v>
      </c>
      <c r="W554" s="54">
        <f t="shared" si="113"/>
        <v>0</v>
      </c>
    </row>
    <row r="555" spans="1:23" ht="15" customHeight="1" x14ac:dyDescent="0.2">
      <c r="A555" t="s">
        <v>2156</v>
      </c>
      <c r="C555">
        <v>0</v>
      </c>
    </row>
    <row r="556" spans="1:23" ht="15" customHeight="1" x14ac:dyDescent="0.2">
      <c r="A556" s="22" t="s">
        <v>2157</v>
      </c>
      <c r="C556" s="51">
        <f>SUM(D553:W553)</f>
        <v>4090.039003230544</v>
      </c>
    </row>
    <row r="557" spans="1:23" ht="15" customHeight="1" x14ac:dyDescent="0.2">
      <c r="A557" s="4" t="s">
        <v>2158</v>
      </c>
      <c r="C557" s="48">
        <f>SUM(D554:W554)</f>
        <v>7266.7546216626688</v>
      </c>
    </row>
    <row r="558" spans="1:23" ht="15" customHeight="1" x14ac:dyDescent="0.2">
      <c r="A558" s="4" t="s">
        <v>63</v>
      </c>
      <c r="C558" s="31">
        <f>IF(C557&lt;=0,"n/a",IF(Paid_occupancy*(1-C556/C557)&gt;1,"&gt;100% (never)",Paid_occupancy*(1-C556/C557)))</f>
        <v>0.38469851945828376</v>
      </c>
    </row>
    <row r="560" spans="1:23" ht="15" customHeight="1" x14ac:dyDescent="0.2">
      <c r="A560" s="5"/>
      <c r="C560" s="48"/>
    </row>
    <row r="561" spans="1:3" ht="15" customHeight="1" x14ac:dyDescent="0.2">
      <c r="A561" s="5"/>
      <c r="C561" s="48"/>
    </row>
    <row r="562" spans="1:3" ht="15" customHeight="1" x14ac:dyDescent="0.2">
      <c r="A562" s="5"/>
      <c r="C562" s="28"/>
    </row>
    <row r="563" spans="1:3" ht="15" customHeight="1" x14ac:dyDescent="0.2">
      <c r="A563" s="5"/>
      <c r="C563" s="28"/>
    </row>
    <row r="564" spans="1:3" ht="15" customHeight="1" x14ac:dyDescent="0.2">
      <c r="A564" s="5"/>
      <c r="C564" s="48"/>
    </row>
    <row r="565" spans="1:3" ht="15" customHeight="1" x14ac:dyDescent="0.2">
      <c r="A565" s="5"/>
      <c r="C565" s="48"/>
    </row>
    <row r="566" spans="1:3" ht="15" customHeight="1" x14ac:dyDescent="0.2">
      <c r="A566" s="5"/>
      <c r="C566" s="48"/>
    </row>
    <row r="567" spans="1:3" ht="15" customHeight="1" x14ac:dyDescent="0.2">
      <c r="A567" s="5"/>
      <c r="C567" s="48"/>
    </row>
    <row r="568" spans="1:3" ht="15" customHeight="1" x14ac:dyDescent="0.2">
      <c r="A568" s="5"/>
      <c r="C568" s="48"/>
    </row>
    <row r="569" spans="1:3" ht="15" customHeight="1" x14ac:dyDescent="0.2">
      <c r="A569" s="5"/>
      <c r="C569" s="48"/>
    </row>
    <row r="570" spans="1:3" ht="15" customHeight="1" x14ac:dyDescent="0.2">
      <c r="A570" s="5"/>
      <c r="C570" s="48"/>
    </row>
    <row r="571" spans="1:3" ht="15" customHeight="1" x14ac:dyDescent="0.2">
      <c r="A571" s="5"/>
      <c r="C571" s="48"/>
    </row>
    <row r="572" spans="1:3" ht="15" customHeight="1" x14ac:dyDescent="0.2">
      <c r="A572" s="5"/>
      <c r="C572" s="48"/>
    </row>
    <row r="573" spans="1:3" ht="15" customHeight="1" x14ac:dyDescent="0.2">
      <c r="A573" s="5"/>
      <c r="C573" s="48"/>
    </row>
    <row r="574" spans="1:3" ht="15" customHeight="1" x14ac:dyDescent="0.2">
      <c r="A574" s="5"/>
      <c r="C574" s="48"/>
    </row>
    <row r="577" spans="1:23" ht="15" customHeight="1" x14ac:dyDescent="0.2">
      <c r="A577" s="7" t="s">
        <v>2171</v>
      </c>
      <c r="B577" s="4" t="s">
        <v>252</v>
      </c>
    </row>
    <row r="578" spans="1:23" ht="15" customHeight="1" x14ac:dyDescent="0.2">
      <c r="A578" s="4" t="s">
        <v>2137</v>
      </c>
      <c r="C578" s="28">
        <f>ROUND($C$599,0)</f>
        <v>0</v>
      </c>
    </row>
    <row r="579" spans="1:23" ht="15" customHeight="1" x14ac:dyDescent="0.2">
      <c r="A579" s="4" t="s">
        <v>2138</v>
      </c>
      <c r="C579" s="28">
        <f>INDEX(Assumptions!$I$50:$K$54,$C$583,MATCH(Assumptions!$B$4,Assumptions!$D$9:$F$9,0))+Deal_WACC_premium</f>
        <v>6.8400000000000002E-2</v>
      </c>
    </row>
    <row r="580" spans="1:23" ht="15" customHeight="1" x14ac:dyDescent="0.2">
      <c r="A580" s="4" t="s">
        <v>2139</v>
      </c>
      <c r="C580" s="28">
        <f>1/(1+$C$579)</f>
        <v>0.93597903406963678</v>
      </c>
    </row>
    <row r="581" spans="1:23" ht="15" customHeight="1" x14ac:dyDescent="0.2">
      <c r="A581" s="4" t="s">
        <v>2140</v>
      </c>
      <c r="C581" s="48">
        <f>IT_load_MW*INDEX(Assumptions!$M$50:$M$54,$C$583,1)*Hours_per_year*INDEX(Assumptions!$C$50:$E$54,$C$583,MATCH(Assumptions!$B$4,Assumptions!$D$9:$F$9,0))*Paid_occupancy/Unit_scale</f>
        <v>138.75839999999999</v>
      </c>
    </row>
    <row r="582" spans="1:23" ht="15" customHeight="1" x14ac:dyDescent="0.2">
      <c r="A582" s="4" t="s">
        <v>2141</v>
      </c>
      <c r="C582" s="48">
        <f>IT_load_MW*OM_fixed+Insurance_rate*Calculations!$C$6+INDEX(Assumptions!$O$50:$O$54,$C$583,1)*($C$585+Calculations!$C$6)*(1-Prop_tax_abatement)</f>
        <v>82.23</v>
      </c>
    </row>
    <row r="583" spans="1:23" ht="15" customHeight="1" x14ac:dyDescent="0.2">
      <c r="A583" s="4" t="s">
        <v>2142</v>
      </c>
      <c r="C583" s="48">
        <f>MATCH($B$577,Assumptions!$B$50:$B$54,0)</f>
        <v>4</v>
      </c>
    </row>
    <row r="584" spans="1:23" ht="15" customHeight="1" x14ac:dyDescent="0.2">
      <c r="A584" s="4" t="s">
        <v>2143</v>
      </c>
      <c r="C584" s="28">
        <f>INDEX(Assumptions!$L$50:$L$54,MATCH($B$577,Assumptions!$B$50:$B$54,0),1)</f>
        <v>0.125</v>
      </c>
    </row>
    <row r="585" spans="1:23" ht="15" customHeight="1" x14ac:dyDescent="0.2">
      <c r="A585" s="4" t="s">
        <v>2144</v>
      </c>
      <c r="C585" s="48">
        <f>IT_load_MW*(Facility_capex_MW+INDEX(Assumptions!$N$50:$N$54,$C$583,1))</f>
        <v>1780</v>
      </c>
    </row>
    <row r="586" spans="1:23" ht="15" customHeight="1" x14ac:dyDescent="0.2">
      <c r="A586" s="4" t="s">
        <v>2145</v>
      </c>
      <c r="C586" s="50">
        <f>Calculations!$C$6</f>
        <v>2520</v>
      </c>
    </row>
    <row r="587" spans="1:23" ht="15" customHeight="1" x14ac:dyDescent="0.2">
      <c r="A587" s="4" t="s">
        <v>2146</v>
      </c>
      <c r="C587" s="48">
        <f>IT_load_MW*Assumptions!$G$12*Hours_per_year*Paid_occupancy/Unit_scale*Compute_P0</f>
        <v>2636.4096000000004</v>
      </c>
    </row>
    <row r="588" spans="1:23" ht="15" customHeight="1" x14ac:dyDescent="0.2">
      <c r="A588" s="4" t="s">
        <v>2147</v>
      </c>
      <c r="D588" s="4">
        <f t="shared" ref="D588:W588" si="114">IF(D$3&lt;$C$578,0,IF(D$3&lt;=$C$578+GPU_life-1,1,0))</f>
        <v>1</v>
      </c>
      <c r="E588" s="4">
        <f t="shared" si="114"/>
        <v>1</v>
      </c>
      <c r="F588" s="4">
        <f t="shared" si="114"/>
        <v>1</v>
      </c>
      <c r="G588" s="4">
        <f t="shared" si="114"/>
        <v>1</v>
      </c>
      <c r="H588" s="4">
        <f t="shared" si="114"/>
        <v>1</v>
      </c>
      <c r="I588" s="4">
        <f t="shared" si="114"/>
        <v>0</v>
      </c>
      <c r="J588" s="4">
        <f t="shared" si="114"/>
        <v>0</v>
      </c>
      <c r="K588" s="4">
        <f t="shared" si="114"/>
        <v>0</v>
      </c>
      <c r="L588" s="4">
        <f t="shared" si="114"/>
        <v>0</v>
      </c>
      <c r="M588" s="4">
        <f t="shared" si="114"/>
        <v>0</v>
      </c>
      <c r="N588" s="4">
        <f t="shared" si="114"/>
        <v>0</v>
      </c>
      <c r="O588" s="4">
        <f t="shared" si="114"/>
        <v>0</v>
      </c>
      <c r="P588" s="4">
        <f t="shared" si="114"/>
        <v>0</v>
      </c>
      <c r="Q588" s="4">
        <f t="shared" si="114"/>
        <v>0</v>
      </c>
      <c r="R588" s="4">
        <f t="shared" si="114"/>
        <v>0</v>
      </c>
      <c r="S588" s="4">
        <f t="shared" si="114"/>
        <v>0</v>
      </c>
      <c r="T588" s="4">
        <f t="shared" si="114"/>
        <v>0</v>
      </c>
      <c r="U588" s="4">
        <f t="shared" si="114"/>
        <v>0</v>
      </c>
      <c r="V588" s="4">
        <f t="shared" si="114"/>
        <v>0</v>
      </c>
      <c r="W588" s="4">
        <f t="shared" si="114"/>
        <v>0</v>
      </c>
    </row>
    <row r="589" spans="1:23" ht="15" customHeight="1" x14ac:dyDescent="0.2">
      <c r="A589" s="4" t="s">
        <v>35</v>
      </c>
      <c r="D589" s="4">
        <f t="shared" ref="D589:W589" si="115">--(D588&gt;0)</f>
        <v>1</v>
      </c>
      <c r="E589" s="4">
        <f t="shared" si="115"/>
        <v>1</v>
      </c>
      <c r="F589" s="4">
        <f t="shared" si="115"/>
        <v>1</v>
      </c>
      <c r="G589" s="4">
        <f t="shared" si="115"/>
        <v>1</v>
      </c>
      <c r="H589" s="4">
        <f t="shared" si="115"/>
        <v>1</v>
      </c>
      <c r="I589" s="4">
        <f t="shared" si="115"/>
        <v>0</v>
      </c>
      <c r="J589" s="4">
        <f t="shared" si="115"/>
        <v>0</v>
      </c>
      <c r="K589" s="4">
        <f t="shared" si="115"/>
        <v>0</v>
      </c>
      <c r="L589" s="4">
        <f t="shared" si="115"/>
        <v>0</v>
      </c>
      <c r="M589" s="4">
        <f t="shared" si="115"/>
        <v>0</v>
      </c>
      <c r="N589" s="4">
        <f t="shared" si="115"/>
        <v>0</v>
      </c>
      <c r="O589" s="4">
        <f t="shared" si="115"/>
        <v>0</v>
      </c>
      <c r="P589" s="4">
        <f t="shared" si="115"/>
        <v>0</v>
      </c>
      <c r="Q589" s="4">
        <f t="shared" si="115"/>
        <v>0</v>
      </c>
      <c r="R589" s="4">
        <f t="shared" si="115"/>
        <v>0</v>
      </c>
      <c r="S589" s="4">
        <f t="shared" si="115"/>
        <v>0</v>
      </c>
      <c r="T589" s="4">
        <f t="shared" si="115"/>
        <v>0</v>
      </c>
      <c r="U589" s="4">
        <f t="shared" si="115"/>
        <v>0</v>
      </c>
      <c r="V589" s="4">
        <f t="shared" si="115"/>
        <v>0</v>
      </c>
      <c r="W589" s="4">
        <f t="shared" si="115"/>
        <v>0</v>
      </c>
    </row>
    <row r="590" spans="1:23" ht="15" customHeight="1" x14ac:dyDescent="0.2">
      <c r="A590" s="4" t="s">
        <v>2148</v>
      </c>
      <c r="D590" s="28">
        <f t="shared" ref="D590:W590" si="116">D589*(1-(1-Ramp_yr1)*((D$3-$C$578)=0)-(1-Ramp_yr2)*((D$3-$C$578)=1))</f>
        <v>0.65</v>
      </c>
      <c r="E590" s="28">
        <f t="shared" si="116"/>
        <v>0.85</v>
      </c>
      <c r="F590" s="28">
        <f t="shared" si="116"/>
        <v>1</v>
      </c>
      <c r="G590" s="28">
        <f t="shared" si="116"/>
        <v>1</v>
      </c>
      <c r="H590" s="28">
        <f t="shared" si="116"/>
        <v>1</v>
      </c>
      <c r="I590" s="28">
        <f t="shared" si="116"/>
        <v>0</v>
      </c>
      <c r="J590" s="28">
        <f t="shared" si="116"/>
        <v>0</v>
      </c>
      <c r="K590" s="28">
        <f t="shared" si="116"/>
        <v>0</v>
      </c>
      <c r="L590" s="28">
        <f t="shared" si="116"/>
        <v>0</v>
      </c>
      <c r="M590" s="28">
        <f t="shared" si="116"/>
        <v>0</v>
      </c>
      <c r="N590" s="28">
        <f t="shared" si="116"/>
        <v>0</v>
      </c>
      <c r="O590" s="28">
        <f t="shared" si="116"/>
        <v>0</v>
      </c>
      <c r="P590" s="28">
        <f t="shared" si="116"/>
        <v>0</v>
      </c>
      <c r="Q590" s="28">
        <f t="shared" si="116"/>
        <v>0</v>
      </c>
      <c r="R590" s="28">
        <f t="shared" si="116"/>
        <v>0</v>
      </c>
      <c r="S590" s="28">
        <f t="shared" si="116"/>
        <v>0</v>
      </c>
      <c r="T590" s="28">
        <f t="shared" si="116"/>
        <v>0</v>
      </c>
      <c r="U590" s="28">
        <f t="shared" si="116"/>
        <v>0</v>
      </c>
      <c r="V590" s="28">
        <f t="shared" si="116"/>
        <v>0</v>
      </c>
      <c r="W590" s="28">
        <f t="shared" si="116"/>
        <v>0</v>
      </c>
    </row>
    <row r="591" spans="1:23" ht="15" customHeight="1" x14ac:dyDescent="0.2">
      <c r="A591" s="4" t="s">
        <v>2149</v>
      </c>
      <c r="D591" s="48">
        <f>IF(Assumptions!$B$7="Contracted",MAX(Price_floor,Compute_P0*(1-Price_decline)^$C$599),MAX(Price_floor,Compute_P0*(1-Price_decline)^MAX($C$599+D$3-$C$578)))</f>
        <v>5.7</v>
      </c>
      <c r="E591" s="48">
        <f>IF(Assumptions!$B$7="Contracted",MAX(Price_floor,Compute_P0*(1-Price_decline)^$C$599),MAX(Price_floor,Compute_P0*(1-Price_decline)^MAX($C$599+E$3-$C$578)))</f>
        <v>5.7</v>
      </c>
      <c r="F591" s="48">
        <f>IF(Assumptions!$B$7="Contracted",MAX(Price_floor,Compute_P0*(1-Price_decline)^$C$599),MAX(Price_floor,Compute_P0*(1-Price_decline)^MAX($C$599+F$3-$C$578)))</f>
        <v>5.7</v>
      </c>
      <c r="G591" s="48">
        <f>IF(Assumptions!$B$7="Contracted",MAX(Price_floor,Compute_P0*(1-Price_decline)^$C$599),MAX(Price_floor,Compute_P0*(1-Price_decline)^MAX($C$599+G$3-$C$578)))</f>
        <v>5.7</v>
      </c>
      <c r="H591" s="48">
        <f>IF(Assumptions!$B$7="Contracted",MAX(Price_floor,Compute_P0*(1-Price_decline)^$C$599),MAX(Price_floor,Compute_P0*(1-Price_decline)^MAX($C$599+H$3-$C$578)))</f>
        <v>5.7</v>
      </c>
      <c r="I591" s="48">
        <f>IF(Assumptions!$B$7="Contracted",MAX(Price_floor,Compute_P0*(1-Price_decline)^$C$599),MAX(Price_floor,Compute_P0*(1-Price_decline)^MAX($C$599+I$3-$C$578)))</f>
        <v>5.7</v>
      </c>
      <c r="J591" s="48">
        <f>IF(Assumptions!$B$7="Contracted",MAX(Price_floor,Compute_P0*(1-Price_decline)^$C$599),MAX(Price_floor,Compute_P0*(1-Price_decline)^MAX($C$599+J$3-$C$578)))</f>
        <v>5.7</v>
      </c>
      <c r="K591" s="48">
        <f>IF(Assumptions!$B$7="Contracted",MAX(Price_floor,Compute_P0*(1-Price_decline)^$C$599),MAX(Price_floor,Compute_P0*(1-Price_decline)^MAX($C$599+K$3-$C$578)))</f>
        <v>5.7</v>
      </c>
      <c r="L591" s="48">
        <f>IF(Assumptions!$B$7="Contracted",MAX(Price_floor,Compute_P0*(1-Price_decline)^$C$599),MAX(Price_floor,Compute_P0*(1-Price_decline)^MAX($C$599+L$3-$C$578)))</f>
        <v>5.7</v>
      </c>
      <c r="M591" s="48">
        <f>IF(Assumptions!$B$7="Contracted",MAX(Price_floor,Compute_P0*(1-Price_decline)^$C$599),MAX(Price_floor,Compute_P0*(1-Price_decline)^MAX($C$599+M$3-$C$578)))</f>
        <v>5.7</v>
      </c>
      <c r="N591" s="48">
        <f>IF(Assumptions!$B$7="Contracted",MAX(Price_floor,Compute_P0*(1-Price_decline)^$C$599),MAX(Price_floor,Compute_P0*(1-Price_decline)^MAX($C$599+N$3-$C$578)))</f>
        <v>5.7</v>
      </c>
      <c r="O591" s="48">
        <f>IF(Assumptions!$B$7="Contracted",MAX(Price_floor,Compute_P0*(1-Price_decline)^$C$599),MAX(Price_floor,Compute_P0*(1-Price_decline)^MAX($C$599+O$3-$C$578)))</f>
        <v>5.7</v>
      </c>
      <c r="P591" s="48">
        <f>IF(Assumptions!$B$7="Contracted",MAX(Price_floor,Compute_P0*(1-Price_decline)^$C$599),MAX(Price_floor,Compute_P0*(1-Price_decline)^MAX($C$599+P$3-$C$578)))</f>
        <v>5.7</v>
      </c>
      <c r="Q591" s="48">
        <f>IF(Assumptions!$B$7="Contracted",MAX(Price_floor,Compute_P0*(1-Price_decline)^$C$599),MAX(Price_floor,Compute_P0*(1-Price_decline)^MAX($C$599+Q$3-$C$578)))</f>
        <v>5.7</v>
      </c>
      <c r="R591" s="48">
        <f>IF(Assumptions!$B$7="Contracted",MAX(Price_floor,Compute_P0*(1-Price_decline)^$C$599),MAX(Price_floor,Compute_P0*(1-Price_decline)^MAX($C$599+R$3-$C$578)))</f>
        <v>5.7</v>
      </c>
      <c r="S591" s="48">
        <f>IF(Assumptions!$B$7="Contracted",MAX(Price_floor,Compute_P0*(1-Price_decline)^$C$599),MAX(Price_floor,Compute_P0*(1-Price_decline)^MAX($C$599+S$3-$C$578)))</f>
        <v>5.7</v>
      </c>
      <c r="T591" s="48">
        <f>IF(Assumptions!$B$7="Contracted",MAX(Price_floor,Compute_P0*(1-Price_decline)^$C$599),MAX(Price_floor,Compute_P0*(1-Price_decline)^MAX($C$599+T$3-$C$578)))</f>
        <v>5.7</v>
      </c>
      <c r="U591" s="48">
        <f>IF(Assumptions!$B$7="Contracted",MAX(Price_floor,Compute_P0*(1-Price_decline)^$C$599),MAX(Price_floor,Compute_P0*(1-Price_decline)^MAX($C$599+U$3-$C$578)))</f>
        <v>5.7</v>
      </c>
      <c r="V591" s="48">
        <f>IF(Assumptions!$B$7="Contracted",MAX(Price_floor,Compute_P0*(1-Price_decline)^$C$599),MAX(Price_floor,Compute_P0*(1-Price_decline)^MAX($C$599+V$3-$C$578)))</f>
        <v>5.7</v>
      </c>
      <c r="W591" s="48">
        <f>IF(Assumptions!$B$7="Contracted",MAX(Price_floor,Compute_P0*(1-Price_decline)^$C$599),MAX(Price_floor,Compute_P0*(1-Price_decline)^MAX($C$599+W$3-$C$578)))</f>
        <v>5.7</v>
      </c>
    </row>
    <row r="592" spans="1:23" ht="15" customHeight="1" x14ac:dyDescent="0.2">
      <c r="A592" s="4" t="s">
        <v>2150</v>
      </c>
      <c r="D592" s="54">
        <f t="shared" ref="D592:W592" si="117">$C$587*D591/Compute_P0*D590</f>
        <v>1713.6662400000002</v>
      </c>
      <c r="E592" s="54">
        <f t="shared" si="117"/>
        <v>2240.9481600000004</v>
      </c>
      <c r="F592" s="54">
        <f t="shared" si="117"/>
        <v>2636.4096000000004</v>
      </c>
      <c r="G592" s="54">
        <f t="shared" si="117"/>
        <v>2636.4096000000004</v>
      </c>
      <c r="H592" s="54">
        <f t="shared" si="117"/>
        <v>2636.4096000000004</v>
      </c>
      <c r="I592" s="54">
        <f t="shared" si="117"/>
        <v>0</v>
      </c>
      <c r="J592" s="54">
        <f t="shared" si="117"/>
        <v>0</v>
      </c>
      <c r="K592" s="54">
        <f t="shared" si="117"/>
        <v>0</v>
      </c>
      <c r="L592" s="54">
        <f t="shared" si="117"/>
        <v>0</v>
      </c>
      <c r="M592" s="54">
        <f t="shared" si="117"/>
        <v>0</v>
      </c>
      <c r="N592" s="54">
        <f t="shared" si="117"/>
        <v>0</v>
      </c>
      <c r="O592" s="54">
        <f t="shared" si="117"/>
        <v>0</v>
      </c>
      <c r="P592" s="54">
        <f t="shared" si="117"/>
        <v>0</v>
      </c>
      <c r="Q592" s="54">
        <f t="shared" si="117"/>
        <v>0</v>
      </c>
      <c r="R592" s="54">
        <f t="shared" si="117"/>
        <v>0</v>
      </c>
      <c r="S592" s="54">
        <f t="shared" si="117"/>
        <v>0</v>
      </c>
      <c r="T592" s="54">
        <f t="shared" si="117"/>
        <v>0</v>
      </c>
      <c r="U592" s="54">
        <f t="shared" si="117"/>
        <v>0</v>
      </c>
      <c r="V592" s="54">
        <f t="shared" si="117"/>
        <v>0</v>
      </c>
      <c r="W592" s="54">
        <f t="shared" si="117"/>
        <v>0</v>
      </c>
    </row>
    <row r="593" spans="1:23" ht="15" customHeight="1" x14ac:dyDescent="0.2">
      <c r="A593" s="4" t="s">
        <v>42</v>
      </c>
      <c r="D593" s="54">
        <f t="shared" ref="D593:W593" si="118">D592-$C$581*D590-$C$582*D589</f>
        <v>1541.2432800000001</v>
      </c>
      <c r="E593" s="54">
        <f t="shared" si="118"/>
        <v>2040.7735200000002</v>
      </c>
      <c r="F593" s="54">
        <f t="shared" si="118"/>
        <v>2415.4212000000002</v>
      </c>
      <c r="G593" s="54">
        <f t="shared" si="118"/>
        <v>2415.4212000000002</v>
      </c>
      <c r="H593" s="54">
        <f t="shared" si="118"/>
        <v>2415.4212000000002</v>
      </c>
      <c r="I593" s="54">
        <f t="shared" si="118"/>
        <v>0</v>
      </c>
      <c r="J593" s="54">
        <f t="shared" si="118"/>
        <v>0</v>
      </c>
      <c r="K593" s="54">
        <f t="shared" si="118"/>
        <v>0</v>
      </c>
      <c r="L593" s="54">
        <f t="shared" si="118"/>
        <v>0</v>
      </c>
      <c r="M593" s="54">
        <f t="shared" si="118"/>
        <v>0</v>
      </c>
      <c r="N593" s="54">
        <f t="shared" si="118"/>
        <v>0</v>
      </c>
      <c r="O593" s="54">
        <f t="shared" si="118"/>
        <v>0</v>
      </c>
      <c r="P593" s="54">
        <f t="shared" si="118"/>
        <v>0</v>
      </c>
      <c r="Q593" s="54">
        <f t="shared" si="118"/>
        <v>0</v>
      </c>
      <c r="R593" s="54">
        <f t="shared" si="118"/>
        <v>0</v>
      </c>
      <c r="S593" s="54">
        <f t="shared" si="118"/>
        <v>0</v>
      </c>
      <c r="T593" s="54">
        <f t="shared" si="118"/>
        <v>0</v>
      </c>
      <c r="U593" s="54">
        <f t="shared" si="118"/>
        <v>0</v>
      </c>
      <c r="V593" s="54">
        <f t="shared" si="118"/>
        <v>0</v>
      </c>
      <c r="W593" s="54">
        <f t="shared" si="118"/>
        <v>0</v>
      </c>
    </row>
    <row r="594" spans="1:23" ht="15" customHeight="1" x14ac:dyDescent="0.2">
      <c r="A594" s="4" t="s">
        <v>2151</v>
      </c>
      <c r="D594" s="54">
        <f>-($C$585*Calculations!$C$15+$C$586/GPU_life)*D589</f>
        <v>-617.62333333333333</v>
      </c>
      <c r="E594" s="54">
        <f>-($C$585*Calculations!$C$15+$C$586/GPU_life)*E589</f>
        <v>-617.62333333333333</v>
      </c>
      <c r="F594" s="54">
        <f>-($C$585*Calculations!$C$15+$C$586/GPU_life)*F589</f>
        <v>-617.62333333333333</v>
      </c>
      <c r="G594" s="54">
        <f>-($C$585*Calculations!$C$15+$C$586/GPU_life)*G589</f>
        <v>-617.62333333333333</v>
      </c>
      <c r="H594" s="54">
        <f>-($C$585*Calculations!$C$15+$C$586/GPU_life)*H589</f>
        <v>-617.62333333333333</v>
      </c>
      <c r="I594" s="54">
        <f>-($C$585*Calculations!$C$15+$C$586/GPU_life)*I589</f>
        <v>0</v>
      </c>
      <c r="J594" s="54">
        <f>-($C$585*Calculations!$C$15+$C$586/GPU_life)*J589</f>
        <v>0</v>
      </c>
      <c r="K594" s="54">
        <f>-($C$585*Calculations!$C$15+$C$586/GPU_life)*K589</f>
        <v>0</v>
      </c>
      <c r="L594" s="54">
        <f>-($C$585*Calculations!$C$15+$C$586/GPU_life)*L589</f>
        <v>0</v>
      </c>
      <c r="M594" s="54">
        <f>-($C$585*Calculations!$C$15+$C$586/GPU_life)*M589</f>
        <v>0</v>
      </c>
      <c r="N594" s="54">
        <f>-($C$585*Calculations!$C$15+$C$586/GPU_life)*N589</f>
        <v>0</v>
      </c>
      <c r="O594" s="54">
        <f>-($C$585*Calculations!$C$15+$C$586/GPU_life)*O589</f>
        <v>0</v>
      </c>
      <c r="P594" s="54">
        <f>-($C$585*Calculations!$C$15+$C$586/GPU_life)*P589</f>
        <v>0</v>
      </c>
      <c r="Q594" s="54">
        <f>-($C$585*Calculations!$C$15+$C$586/GPU_life)*Q589</f>
        <v>0</v>
      </c>
      <c r="R594" s="54">
        <f>-($C$585*Calculations!$C$15+$C$586/GPU_life)*R589</f>
        <v>0</v>
      </c>
      <c r="S594" s="54">
        <f>-($C$585*Calculations!$C$15+$C$586/GPU_life)*S589</f>
        <v>0</v>
      </c>
      <c r="T594" s="54">
        <f>-($C$585*Calculations!$C$15+$C$586/GPU_life)*T589</f>
        <v>0</v>
      </c>
      <c r="U594" s="54">
        <f>-($C$585*Calculations!$C$15+$C$586/GPU_life)*U589</f>
        <v>0</v>
      </c>
      <c r="V594" s="54">
        <f>-($C$585*Calculations!$C$15+$C$586/GPU_life)*V589</f>
        <v>0</v>
      </c>
      <c r="W594" s="54">
        <f>-($C$585*Calculations!$C$15+$C$586/GPU_life)*W589</f>
        <v>0</v>
      </c>
    </row>
    <row r="595" spans="1:23" ht="15" customHeight="1" x14ac:dyDescent="0.2">
      <c r="A595" s="4" t="s">
        <v>2152</v>
      </c>
      <c r="D595" s="54">
        <f t="shared" ref="D595:W595" si="119">-$C$584*MAX(D593+D594,0)</f>
        <v>-115.45249333333335</v>
      </c>
      <c r="E595" s="54">
        <f t="shared" si="119"/>
        <v>-177.89377333333334</v>
      </c>
      <c r="F595" s="54">
        <f t="shared" si="119"/>
        <v>-224.72473333333335</v>
      </c>
      <c r="G595" s="54">
        <f t="shared" si="119"/>
        <v>-224.72473333333335</v>
      </c>
      <c r="H595" s="54">
        <f t="shared" si="119"/>
        <v>-224.72473333333335</v>
      </c>
      <c r="I595" s="54">
        <f t="shared" si="119"/>
        <v>0</v>
      </c>
      <c r="J595" s="54">
        <f t="shared" si="119"/>
        <v>0</v>
      </c>
      <c r="K595" s="54">
        <f t="shared" si="119"/>
        <v>0</v>
      </c>
      <c r="L595" s="54">
        <f t="shared" si="119"/>
        <v>0</v>
      </c>
      <c r="M595" s="54">
        <f t="shared" si="119"/>
        <v>0</v>
      </c>
      <c r="N595" s="54">
        <f t="shared" si="119"/>
        <v>0</v>
      </c>
      <c r="O595" s="54">
        <f t="shared" si="119"/>
        <v>0</v>
      </c>
      <c r="P595" s="54">
        <f t="shared" si="119"/>
        <v>0</v>
      </c>
      <c r="Q595" s="54">
        <f t="shared" si="119"/>
        <v>0</v>
      </c>
      <c r="R595" s="54">
        <f t="shared" si="119"/>
        <v>0</v>
      </c>
      <c r="S595" s="54">
        <f t="shared" si="119"/>
        <v>0</v>
      </c>
      <c r="T595" s="54">
        <f t="shared" si="119"/>
        <v>0</v>
      </c>
      <c r="U595" s="54">
        <f t="shared" si="119"/>
        <v>0</v>
      </c>
      <c r="V595" s="54">
        <f t="shared" si="119"/>
        <v>0</v>
      </c>
      <c r="W595" s="54">
        <f t="shared" si="119"/>
        <v>0</v>
      </c>
    </row>
    <row r="596" spans="1:23" ht="15" customHeight="1" x14ac:dyDescent="0.2">
      <c r="A596" s="4" t="s">
        <v>2153</v>
      </c>
      <c r="D596" s="54">
        <f>D593+D595-$C$585*IF($C$578=0,--(D$3=0),--(D$3&lt;=$C$578-1)/$C$578)-$C$585*Assumptions!$F$38*IF(AND(D$3&gt;=1,D$3&lt;=$C$578),1,0)-$C$586*(D$3=$C$578)+($C$585*Facility_salvage_pct+$C$586*GPU_salvage_pct*(1-$C$584))*(D$3=$C$578+GPU_life-1)</f>
        <v>-2874.2092133333335</v>
      </c>
      <c r="E596" s="54">
        <f>E593+E595-$C$585*IF($C$578=0,--(E$3=0),--(E$3&lt;=$C$578-1)/$C$578)-$C$585*Assumptions!$F$38*IF(AND(E$3&gt;=1,E$3&lt;=$C$578),1,0)-$C$586*(E$3=$C$578)+($C$585*Facility_salvage_pct+$C$586*GPU_salvage_pct*(1-$C$584))*(E$3=$C$578+GPU_life-1)</f>
        <v>1862.879746666667</v>
      </c>
      <c r="F596" s="54">
        <f>F593+F595-$C$585*IF($C$578=0,--(F$3=0),--(F$3&lt;=$C$578-1)/$C$578)-$C$585*Assumptions!$F$38*IF(AND(F$3&gt;=1,F$3&lt;=$C$578),1,0)-$C$586*(F$3=$C$578)+($C$585*Facility_salvage_pct+$C$586*GPU_salvage_pct*(1-$C$584))*(F$3=$C$578+GPU_life-1)</f>
        <v>2190.6964666666668</v>
      </c>
      <c r="G596" s="54">
        <f>G593+G595-$C$585*IF($C$578=0,--(G$3=0),--(G$3&lt;=$C$578-1)/$C$578)-$C$585*Assumptions!$F$38*IF(AND(G$3&gt;=1,G$3&lt;=$C$578),1,0)-$C$586*(G$3=$C$578)+($C$585*Facility_salvage_pct+$C$586*GPU_salvage_pct*(1-$C$584))*(G$3=$C$578+GPU_life-1)</f>
        <v>2190.6964666666668</v>
      </c>
      <c r="H596" s="54">
        <f>H593+H595-$C$585*IF($C$578=0,--(H$3=0),--(H$3&lt;=$C$578-1)/$C$578)-$C$585*Assumptions!$F$38*IF(AND(H$3&gt;=1,H$3&lt;=$C$578),1,0)-$C$586*(H$3=$C$578)+($C$585*Facility_salvage_pct+$C$586*GPU_salvage_pct*(1-$C$584))*(H$3=$C$578+GPU_life-1)</f>
        <v>3212.1964666666668</v>
      </c>
      <c r="I596" s="54">
        <f>I593+I595-$C$585*IF($C$578=0,--(I$3=0),--(I$3&lt;=$C$578-1)/$C$578)-$C$585*Assumptions!$F$38*IF(AND(I$3&gt;=1,I$3&lt;=$C$578),1,0)-$C$586*(I$3=$C$578)+($C$585*Facility_salvage_pct+$C$586*GPU_salvage_pct*(1-$C$584))*(I$3=$C$578+GPU_life-1)</f>
        <v>0</v>
      </c>
      <c r="J596" s="54">
        <f>J593+J595-$C$585*IF($C$578=0,--(J$3=0),--(J$3&lt;=$C$578-1)/$C$578)-$C$585*Assumptions!$F$38*IF(AND(J$3&gt;=1,J$3&lt;=$C$578),1,0)-$C$586*(J$3=$C$578)+($C$585*Facility_salvage_pct+$C$586*GPU_salvage_pct*(1-$C$584))*(J$3=$C$578+GPU_life-1)</f>
        <v>0</v>
      </c>
      <c r="K596" s="54">
        <f>K593+K595-$C$585*IF($C$578=0,--(K$3=0),--(K$3&lt;=$C$578-1)/$C$578)-$C$585*Assumptions!$F$38*IF(AND(K$3&gt;=1,K$3&lt;=$C$578),1,0)-$C$586*(K$3=$C$578)+($C$585*Facility_salvage_pct+$C$586*GPU_salvage_pct*(1-$C$584))*(K$3=$C$578+GPU_life-1)</f>
        <v>0</v>
      </c>
      <c r="L596" s="54">
        <f>L593+L595-$C$585*IF($C$578=0,--(L$3=0),--(L$3&lt;=$C$578-1)/$C$578)-$C$585*Assumptions!$F$38*IF(AND(L$3&gt;=1,L$3&lt;=$C$578),1,0)-$C$586*(L$3=$C$578)+($C$585*Facility_salvage_pct+$C$586*GPU_salvage_pct*(1-$C$584))*(L$3=$C$578+GPU_life-1)</f>
        <v>0</v>
      </c>
      <c r="M596" s="54">
        <f>M593+M595-$C$585*IF($C$578=0,--(M$3=0),--(M$3&lt;=$C$578-1)/$C$578)-$C$585*Assumptions!$F$38*IF(AND(M$3&gt;=1,M$3&lt;=$C$578),1,0)-$C$586*(M$3=$C$578)+($C$585*Facility_salvage_pct+$C$586*GPU_salvage_pct*(1-$C$584))*(M$3=$C$578+GPU_life-1)</f>
        <v>0</v>
      </c>
      <c r="N596" s="54">
        <f>N593+N595-$C$585*IF($C$578=0,--(N$3=0),--(N$3&lt;=$C$578-1)/$C$578)-$C$585*Assumptions!$F$38*IF(AND(N$3&gt;=1,N$3&lt;=$C$578),1,0)-$C$586*(N$3=$C$578)+($C$585*Facility_salvage_pct+$C$586*GPU_salvage_pct*(1-$C$584))*(N$3=$C$578+GPU_life-1)</f>
        <v>0</v>
      </c>
      <c r="O596" s="54">
        <f>O593+O595-$C$585*IF($C$578=0,--(O$3=0),--(O$3&lt;=$C$578-1)/$C$578)-$C$585*Assumptions!$F$38*IF(AND(O$3&gt;=1,O$3&lt;=$C$578),1,0)-$C$586*(O$3=$C$578)+($C$585*Facility_salvage_pct+$C$586*GPU_salvage_pct*(1-$C$584))*(O$3=$C$578+GPU_life-1)</f>
        <v>0</v>
      </c>
      <c r="P596" s="54">
        <f>P593+P595-$C$585*IF($C$578=0,--(P$3=0),--(P$3&lt;=$C$578-1)/$C$578)-$C$585*Assumptions!$F$38*IF(AND(P$3&gt;=1,P$3&lt;=$C$578),1,0)-$C$586*(P$3=$C$578)+($C$585*Facility_salvage_pct+$C$586*GPU_salvage_pct*(1-$C$584))*(P$3=$C$578+GPU_life-1)</f>
        <v>0</v>
      </c>
      <c r="Q596" s="54">
        <f>Q593+Q595-$C$585*IF($C$578=0,--(Q$3=0),--(Q$3&lt;=$C$578-1)/$C$578)-$C$585*Assumptions!$F$38*IF(AND(Q$3&gt;=1,Q$3&lt;=$C$578),1,0)-$C$586*(Q$3=$C$578)+($C$585*Facility_salvage_pct+$C$586*GPU_salvage_pct*(1-$C$584))*(Q$3=$C$578+GPU_life-1)</f>
        <v>0</v>
      </c>
      <c r="R596" s="54">
        <f>R593+R595-$C$585*IF($C$578=0,--(R$3=0),--(R$3&lt;=$C$578-1)/$C$578)-$C$585*Assumptions!$F$38*IF(AND(R$3&gt;=1,R$3&lt;=$C$578),1,0)-$C$586*(R$3=$C$578)+($C$585*Facility_salvage_pct+$C$586*GPU_salvage_pct*(1-$C$584))*(R$3=$C$578+GPU_life-1)</f>
        <v>0</v>
      </c>
      <c r="S596" s="54">
        <f>S593+S595-$C$585*IF($C$578=0,--(S$3=0),--(S$3&lt;=$C$578-1)/$C$578)-$C$585*Assumptions!$F$38*IF(AND(S$3&gt;=1,S$3&lt;=$C$578),1,0)-$C$586*(S$3=$C$578)+($C$585*Facility_salvage_pct+$C$586*GPU_salvage_pct*(1-$C$584))*(S$3=$C$578+GPU_life-1)</f>
        <v>0</v>
      </c>
      <c r="T596" s="54">
        <f>T593+T595-$C$585*IF($C$578=0,--(T$3=0),--(T$3&lt;=$C$578-1)/$C$578)-$C$585*Assumptions!$F$38*IF(AND(T$3&gt;=1,T$3&lt;=$C$578),1,0)-$C$586*(T$3=$C$578)+($C$585*Facility_salvage_pct+$C$586*GPU_salvage_pct*(1-$C$584))*(T$3=$C$578+GPU_life-1)</f>
        <v>0</v>
      </c>
      <c r="U596" s="54">
        <f>U593+U595-$C$585*IF($C$578=0,--(U$3=0),--(U$3&lt;=$C$578-1)/$C$578)-$C$585*Assumptions!$F$38*IF(AND(U$3&gt;=1,U$3&lt;=$C$578),1,0)-$C$586*(U$3=$C$578)+($C$585*Facility_salvage_pct+$C$586*GPU_salvage_pct*(1-$C$584))*(U$3=$C$578+GPU_life-1)</f>
        <v>0</v>
      </c>
      <c r="V596" s="54">
        <f>V593+V595-$C$585*IF($C$578=0,--(V$3=0),--(V$3&lt;=$C$578-1)/$C$578)-$C$585*Assumptions!$F$38*IF(AND(V$3&gt;=1,V$3&lt;=$C$578),1,0)-$C$586*(V$3=$C$578)+($C$585*Facility_salvage_pct+$C$586*GPU_salvage_pct*(1-$C$584))*(V$3=$C$578+GPU_life-1)</f>
        <v>0</v>
      </c>
      <c r="W596" s="54">
        <f>W593+W595-$C$585*IF($C$578=0,--(W$3=0),--(W$3&lt;=$C$578-1)/$C$578)-$C$585*Assumptions!$F$38*IF(AND(W$3&gt;=1,W$3&lt;=$C$578),1,0)-$C$586*(W$3=$C$578)+($C$585*Facility_salvage_pct+$C$586*GPU_salvage_pct*(1-$C$584))*(W$3=$C$578+GPU_life-1)</f>
        <v>0</v>
      </c>
    </row>
    <row r="597" spans="1:23" ht="15" customHeight="1" x14ac:dyDescent="0.2">
      <c r="A597" s="4" t="s">
        <v>2154</v>
      </c>
      <c r="D597" s="54">
        <f t="shared" ref="D597:W597" si="120">D596*$C$580^D$3</f>
        <v>-2874.2092133333335</v>
      </c>
      <c r="E597" s="54">
        <f t="shared" si="120"/>
        <v>1743.6163858729567</v>
      </c>
      <c r="F597" s="54">
        <f t="shared" si="120"/>
        <v>1919.1744316832956</v>
      </c>
      <c r="G597" s="54">
        <f t="shared" si="120"/>
        <v>1796.3070307780749</v>
      </c>
      <c r="H597" s="54">
        <f t="shared" si="120"/>
        <v>2465.2818744785804</v>
      </c>
      <c r="I597" s="54">
        <f t="shared" si="120"/>
        <v>0</v>
      </c>
      <c r="J597" s="54">
        <f t="shared" si="120"/>
        <v>0</v>
      </c>
      <c r="K597" s="54">
        <f t="shared" si="120"/>
        <v>0</v>
      </c>
      <c r="L597" s="54">
        <f t="shared" si="120"/>
        <v>0</v>
      </c>
      <c r="M597" s="54">
        <f t="shared" si="120"/>
        <v>0</v>
      </c>
      <c r="N597" s="54">
        <f t="shared" si="120"/>
        <v>0</v>
      </c>
      <c r="O597" s="54">
        <f t="shared" si="120"/>
        <v>0</v>
      </c>
      <c r="P597" s="54">
        <f t="shared" si="120"/>
        <v>0</v>
      </c>
      <c r="Q597" s="54">
        <f t="shared" si="120"/>
        <v>0</v>
      </c>
      <c r="R597" s="54">
        <f t="shared" si="120"/>
        <v>0</v>
      </c>
      <c r="S597" s="54">
        <f t="shared" si="120"/>
        <v>0</v>
      </c>
      <c r="T597" s="54">
        <f t="shared" si="120"/>
        <v>0</v>
      </c>
      <c r="U597" s="54">
        <f t="shared" si="120"/>
        <v>0</v>
      </c>
      <c r="V597" s="54">
        <f t="shared" si="120"/>
        <v>0</v>
      </c>
      <c r="W597" s="54">
        <f t="shared" si="120"/>
        <v>0</v>
      </c>
    </row>
    <row r="598" spans="1:23" ht="15" customHeight="1" x14ac:dyDescent="0.2">
      <c r="A598" s="4" t="s">
        <v>2155</v>
      </c>
      <c r="D598" s="54">
        <f t="shared" ref="D598:W598" si="121">(D592-$C$581*D590)*(1-$C$584)*$C$580^D$3</f>
        <v>1420.5391200000001</v>
      </c>
      <c r="E598" s="54">
        <f t="shared" si="121"/>
        <v>1738.7009359790341</v>
      </c>
      <c r="F598" s="54">
        <f t="shared" si="121"/>
        <v>1914.5736736395645</v>
      </c>
      <c r="G598" s="54">
        <f t="shared" si="121"/>
        <v>1792.0008177083155</v>
      </c>
      <c r="H598" s="54">
        <f t="shared" si="121"/>
        <v>1677.2751944106285</v>
      </c>
      <c r="I598" s="54">
        <f t="shared" si="121"/>
        <v>0</v>
      </c>
      <c r="J598" s="54">
        <f t="shared" si="121"/>
        <v>0</v>
      </c>
      <c r="K598" s="54">
        <f t="shared" si="121"/>
        <v>0</v>
      </c>
      <c r="L598" s="54">
        <f t="shared" si="121"/>
        <v>0</v>
      </c>
      <c r="M598" s="54">
        <f t="shared" si="121"/>
        <v>0</v>
      </c>
      <c r="N598" s="54">
        <f t="shared" si="121"/>
        <v>0</v>
      </c>
      <c r="O598" s="54">
        <f t="shared" si="121"/>
        <v>0</v>
      </c>
      <c r="P598" s="54">
        <f t="shared" si="121"/>
        <v>0</v>
      </c>
      <c r="Q598" s="54">
        <f t="shared" si="121"/>
        <v>0</v>
      </c>
      <c r="R598" s="54">
        <f t="shared" si="121"/>
        <v>0</v>
      </c>
      <c r="S598" s="54">
        <f t="shared" si="121"/>
        <v>0</v>
      </c>
      <c r="T598" s="54">
        <f t="shared" si="121"/>
        <v>0</v>
      </c>
      <c r="U598" s="54">
        <f t="shared" si="121"/>
        <v>0</v>
      </c>
      <c r="V598" s="54">
        <f t="shared" si="121"/>
        <v>0</v>
      </c>
      <c r="W598" s="54">
        <f t="shared" si="121"/>
        <v>0</v>
      </c>
    </row>
    <row r="599" spans="1:23" ht="15" customHeight="1" x14ac:dyDescent="0.2">
      <c r="A599" t="s">
        <v>2156</v>
      </c>
      <c r="C599">
        <v>0</v>
      </c>
    </row>
    <row r="600" spans="1:23" ht="15" customHeight="1" x14ac:dyDescent="0.2">
      <c r="A600" s="22" t="s">
        <v>2157</v>
      </c>
      <c r="C600" s="51">
        <f>SUM(D597:W597)</f>
        <v>5050.1705094795743</v>
      </c>
    </row>
    <row r="601" spans="1:23" ht="15" customHeight="1" x14ac:dyDescent="0.2">
      <c r="A601" s="4" t="s">
        <v>2158</v>
      </c>
      <c r="C601" s="48">
        <f>SUM(D598:W598)</f>
        <v>8543.0897417375418</v>
      </c>
    </row>
    <row r="602" spans="1:23" ht="15" customHeight="1" x14ac:dyDescent="0.2">
      <c r="A602" s="4" t="s">
        <v>63</v>
      </c>
      <c r="C602" s="31">
        <f>IF(C601&lt;=0,"n/a",IF(Paid_occupancy*(1-C600/C601)&gt;1,"&gt;100% (never)",Paid_occupancy*(1-C600/C601)))</f>
        <v>0.35979593066546095</v>
      </c>
    </row>
    <row r="604" spans="1:23" ht="15" customHeight="1" x14ac:dyDescent="0.2">
      <c r="A604" s="5"/>
      <c r="C604" s="48"/>
    </row>
    <row r="605" spans="1:23" ht="15" customHeight="1" x14ac:dyDescent="0.2">
      <c r="A605" s="5"/>
      <c r="C605" s="48"/>
    </row>
    <row r="606" spans="1:23" ht="15" customHeight="1" x14ac:dyDescent="0.2">
      <c r="A606" s="5"/>
      <c r="C606" s="28"/>
    </row>
    <row r="607" spans="1:23" ht="15" customHeight="1" x14ac:dyDescent="0.2">
      <c r="A607" s="5"/>
      <c r="C607" s="28"/>
    </row>
    <row r="608" spans="1:23" ht="15" customHeight="1" x14ac:dyDescent="0.2">
      <c r="A608" s="5"/>
      <c r="C608" s="48"/>
    </row>
    <row r="609" spans="1:3" ht="15" customHeight="1" x14ac:dyDescent="0.2">
      <c r="A609" s="5"/>
      <c r="C609" s="48"/>
    </row>
    <row r="610" spans="1:3" ht="15" customHeight="1" x14ac:dyDescent="0.2">
      <c r="A610" s="5"/>
      <c r="C610" s="48"/>
    </row>
    <row r="611" spans="1:3" ht="15" customHeight="1" x14ac:dyDescent="0.2">
      <c r="A611" s="5"/>
      <c r="C611" s="48"/>
    </row>
    <row r="612" spans="1:3" ht="15" customHeight="1" x14ac:dyDescent="0.2">
      <c r="A612" s="5"/>
      <c r="C612" s="48"/>
    </row>
    <row r="613" spans="1:3" ht="15" customHeight="1" x14ac:dyDescent="0.2">
      <c r="A613" s="5"/>
      <c r="C613" s="48"/>
    </row>
    <row r="614" spans="1:3" ht="15" customHeight="1" x14ac:dyDescent="0.2">
      <c r="A614" s="5"/>
      <c r="C614" s="48"/>
    </row>
    <row r="615" spans="1:3" ht="15" customHeight="1" x14ac:dyDescent="0.2">
      <c r="A615" s="5"/>
      <c r="C615" s="48"/>
    </row>
    <row r="616" spans="1:3" ht="15" customHeight="1" x14ac:dyDescent="0.2">
      <c r="A616" s="5"/>
      <c r="C616" s="48"/>
    </row>
    <row r="617" spans="1:3" ht="15" customHeight="1" x14ac:dyDescent="0.2">
      <c r="A617" s="5"/>
      <c r="C617" s="48"/>
    </row>
    <row r="618" spans="1:3" ht="15" customHeight="1" x14ac:dyDescent="0.2">
      <c r="A618" s="5"/>
      <c r="C618" s="48"/>
    </row>
    <row r="621" spans="1:3" ht="15" customHeight="1" x14ac:dyDescent="0.2">
      <c r="A621" s="7" t="s">
        <v>2172</v>
      </c>
      <c r="B621" s="4" t="s">
        <v>257</v>
      </c>
    </row>
    <row r="622" spans="1:3" ht="15" customHeight="1" x14ac:dyDescent="0.2">
      <c r="A622" s="4" t="s">
        <v>2137</v>
      </c>
      <c r="C622" s="28">
        <f>ROUND($C$643,0)</f>
        <v>0</v>
      </c>
    </row>
    <row r="623" spans="1:3" ht="15" customHeight="1" x14ac:dyDescent="0.2">
      <c r="A623" s="4" t="s">
        <v>2138</v>
      </c>
      <c r="C623" s="28">
        <f>INDEX(Assumptions!$I$50:$K$54,$C$627,MATCH(Assumptions!$B$4,Assumptions!$D$9:$F$9,0))+Deal_WACC_premium</f>
        <v>6.8400000000000002E-2</v>
      </c>
    </row>
    <row r="624" spans="1:3" ht="15" customHeight="1" x14ac:dyDescent="0.2">
      <c r="A624" s="4" t="s">
        <v>2139</v>
      </c>
      <c r="C624" s="28">
        <f>1/(1+$C$623)</f>
        <v>0.93597903406963678</v>
      </c>
    </row>
    <row r="625" spans="1:23" ht="15" customHeight="1" x14ac:dyDescent="0.2">
      <c r="A625" s="4" t="s">
        <v>2140</v>
      </c>
      <c r="C625" s="48">
        <f>IT_load_MW*INDEX(Assumptions!$M$50:$M$54,$C$627,1)*Hours_per_year*INDEX(Assumptions!$C$50:$E$54,$C$627,MATCH(Assumptions!$B$4,Assumptions!$D$9:$F$9,0))*Paid_occupancy/Unit_scale</f>
        <v>53.653247999999998</v>
      </c>
    </row>
    <row r="626" spans="1:23" ht="15" customHeight="1" x14ac:dyDescent="0.2">
      <c r="A626" s="4" t="s">
        <v>2141</v>
      </c>
      <c r="C626" s="48">
        <f>IT_load_MW*OM_fixed+Insurance_rate*Calculations!$C$6+INDEX(Assumptions!$O$50:$O$54,$C$627,1)*($C$629+Calculations!$C$6)*(1-Prop_tax_abatement)</f>
        <v>81.142499999999998</v>
      </c>
    </row>
    <row r="627" spans="1:23" ht="15" customHeight="1" x14ac:dyDescent="0.2">
      <c r="A627" s="4" t="s">
        <v>2142</v>
      </c>
      <c r="C627" s="48">
        <f>MATCH($B$621,Assumptions!$B$50:$B$54,0)</f>
        <v>5</v>
      </c>
    </row>
    <row r="628" spans="1:23" ht="15" customHeight="1" x14ac:dyDescent="0.2">
      <c r="A628" s="4" t="s">
        <v>2143</v>
      </c>
      <c r="C628" s="28">
        <f>INDEX(Assumptions!$L$50:$L$54,MATCH($B$621,Assumptions!$B$50:$B$54,0),1)</f>
        <v>0.2</v>
      </c>
    </row>
    <row r="629" spans="1:23" ht="15" customHeight="1" x14ac:dyDescent="0.2">
      <c r="A629" s="4" t="s">
        <v>2144</v>
      </c>
      <c r="C629" s="48">
        <f>IT_load_MW*(Facility_capex_MW+INDEX(Assumptions!$N$50:$N$54,$C$627,1))</f>
        <v>1730</v>
      </c>
    </row>
    <row r="630" spans="1:23" ht="15" customHeight="1" x14ac:dyDescent="0.2">
      <c r="A630" s="4" t="s">
        <v>2145</v>
      </c>
      <c r="C630" s="50">
        <f>Calculations!$C$6</f>
        <v>2520</v>
      </c>
    </row>
    <row r="631" spans="1:23" ht="15" customHeight="1" x14ac:dyDescent="0.2">
      <c r="A631" s="4" t="s">
        <v>2146</v>
      </c>
      <c r="C631" s="48">
        <f>IT_load_MW*Assumptions!$G$12*Hours_per_year*Paid_occupancy/Unit_scale*Compute_P0</f>
        <v>2636.4096000000004</v>
      </c>
    </row>
    <row r="632" spans="1:23" ht="15" customHeight="1" x14ac:dyDescent="0.2">
      <c r="A632" s="4" t="s">
        <v>2147</v>
      </c>
      <c r="D632" s="4">
        <f t="shared" ref="D632:W632" si="122">IF(D$3&lt;$C$622,0,IF(D$3&lt;=$C$622+GPU_life-1,1,0))</f>
        <v>1</v>
      </c>
      <c r="E632" s="4">
        <f t="shared" si="122"/>
        <v>1</v>
      </c>
      <c r="F632" s="4">
        <f t="shared" si="122"/>
        <v>1</v>
      </c>
      <c r="G632" s="4">
        <f t="shared" si="122"/>
        <v>1</v>
      </c>
      <c r="H632" s="4">
        <f t="shared" si="122"/>
        <v>1</v>
      </c>
      <c r="I632" s="4">
        <f t="shared" si="122"/>
        <v>0</v>
      </c>
      <c r="J632" s="4">
        <f t="shared" si="122"/>
        <v>0</v>
      </c>
      <c r="K632" s="4">
        <f t="shared" si="122"/>
        <v>0</v>
      </c>
      <c r="L632" s="4">
        <f t="shared" si="122"/>
        <v>0</v>
      </c>
      <c r="M632" s="4">
        <f t="shared" si="122"/>
        <v>0</v>
      </c>
      <c r="N632" s="4">
        <f t="shared" si="122"/>
        <v>0</v>
      </c>
      <c r="O632" s="4">
        <f t="shared" si="122"/>
        <v>0</v>
      </c>
      <c r="P632" s="4">
        <f t="shared" si="122"/>
        <v>0</v>
      </c>
      <c r="Q632" s="4">
        <f t="shared" si="122"/>
        <v>0</v>
      </c>
      <c r="R632" s="4">
        <f t="shared" si="122"/>
        <v>0</v>
      </c>
      <c r="S632" s="4">
        <f t="shared" si="122"/>
        <v>0</v>
      </c>
      <c r="T632" s="4">
        <f t="shared" si="122"/>
        <v>0</v>
      </c>
      <c r="U632" s="4">
        <f t="shared" si="122"/>
        <v>0</v>
      </c>
      <c r="V632" s="4">
        <f t="shared" si="122"/>
        <v>0</v>
      </c>
      <c r="W632" s="4">
        <f t="shared" si="122"/>
        <v>0</v>
      </c>
    </row>
    <row r="633" spans="1:23" ht="15" customHeight="1" x14ac:dyDescent="0.2">
      <c r="A633" s="4" t="s">
        <v>35</v>
      </c>
      <c r="D633" s="4">
        <f t="shared" ref="D633:W633" si="123">--(D632&gt;0)</f>
        <v>1</v>
      </c>
      <c r="E633" s="4">
        <f t="shared" si="123"/>
        <v>1</v>
      </c>
      <c r="F633" s="4">
        <f t="shared" si="123"/>
        <v>1</v>
      </c>
      <c r="G633" s="4">
        <f t="shared" si="123"/>
        <v>1</v>
      </c>
      <c r="H633" s="4">
        <f t="shared" si="123"/>
        <v>1</v>
      </c>
      <c r="I633" s="4">
        <f t="shared" si="123"/>
        <v>0</v>
      </c>
      <c r="J633" s="4">
        <f t="shared" si="123"/>
        <v>0</v>
      </c>
      <c r="K633" s="4">
        <f t="shared" si="123"/>
        <v>0</v>
      </c>
      <c r="L633" s="4">
        <f t="shared" si="123"/>
        <v>0</v>
      </c>
      <c r="M633" s="4">
        <f t="shared" si="123"/>
        <v>0</v>
      </c>
      <c r="N633" s="4">
        <f t="shared" si="123"/>
        <v>0</v>
      </c>
      <c r="O633" s="4">
        <f t="shared" si="123"/>
        <v>0</v>
      </c>
      <c r="P633" s="4">
        <f t="shared" si="123"/>
        <v>0</v>
      </c>
      <c r="Q633" s="4">
        <f t="shared" si="123"/>
        <v>0</v>
      </c>
      <c r="R633" s="4">
        <f t="shared" si="123"/>
        <v>0</v>
      </c>
      <c r="S633" s="4">
        <f t="shared" si="123"/>
        <v>0</v>
      </c>
      <c r="T633" s="4">
        <f t="shared" si="123"/>
        <v>0</v>
      </c>
      <c r="U633" s="4">
        <f t="shared" si="123"/>
        <v>0</v>
      </c>
      <c r="V633" s="4">
        <f t="shared" si="123"/>
        <v>0</v>
      </c>
      <c r="W633" s="4">
        <f t="shared" si="123"/>
        <v>0</v>
      </c>
    </row>
    <row r="634" spans="1:23" ht="15" customHeight="1" x14ac:dyDescent="0.2">
      <c r="A634" s="4" t="s">
        <v>2148</v>
      </c>
      <c r="D634" s="28">
        <f t="shared" ref="D634:W634" si="124">D633*(1-(1-Ramp_yr1)*((D$3-$C$622)=0)-(1-Ramp_yr2)*((D$3-$C$622)=1))</f>
        <v>0.65</v>
      </c>
      <c r="E634" s="28">
        <f t="shared" si="124"/>
        <v>0.85</v>
      </c>
      <c r="F634" s="28">
        <f t="shared" si="124"/>
        <v>1</v>
      </c>
      <c r="G634" s="28">
        <f t="shared" si="124"/>
        <v>1</v>
      </c>
      <c r="H634" s="28">
        <f t="shared" si="124"/>
        <v>1</v>
      </c>
      <c r="I634" s="28">
        <f t="shared" si="124"/>
        <v>0</v>
      </c>
      <c r="J634" s="28">
        <f t="shared" si="124"/>
        <v>0</v>
      </c>
      <c r="K634" s="28">
        <f t="shared" si="124"/>
        <v>0</v>
      </c>
      <c r="L634" s="28">
        <f t="shared" si="124"/>
        <v>0</v>
      </c>
      <c r="M634" s="28">
        <f t="shared" si="124"/>
        <v>0</v>
      </c>
      <c r="N634" s="28">
        <f t="shared" si="124"/>
        <v>0</v>
      </c>
      <c r="O634" s="28">
        <f t="shared" si="124"/>
        <v>0</v>
      </c>
      <c r="P634" s="28">
        <f t="shared" si="124"/>
        <v>0</v>
      </c>
      <c r="Q634" s="28">
        <f t="shared" si="124"/>
        <v>0</v>
      </c>
      <c r="R634" s="28">
        <f t="shared" si="124"/>
        <v>0</v>
      </c>
      <c r="S634" s="28">
        <f t="shared" si="124"/>
        <v>0</v>
      </c>
      <c r="T634" s="28">
        <f t="shared" si="124"/>
        <v>0</v>
      </c>
      <c r="U634" s="28">
        <f t="shared" si="124"/>
        <v>0</v>
      </c>
      <c r="V634" s="28">
        <f t="shared" si="124"/>
        <v>0</v>
      </c>
      <c r="W634" s="28">
        <f t="shared" si="124"/>
        <v>0</v>
      </c>
    </row>
    <row r="635" spans="1:23" ht="15" customHeight="1" x14ac:dyDescent="0.2">
      <c r="A635" s="4" t="s">
        <v>2149</v>
      </c>
      <c r="D635" s="48">
        <f>IF(Assumptions!$B$7="Contracted",MAX(Price_floor,Compute_P0*(1-Price_decline)^$C$643),MAX(Price_floor,Compute_P0*(1-Price_decline)^MAX($C$643+D$3-$C$622)))</f>
        <v>5.7</v>
      </c>
      <c r="E635" s="48">
        <f>IF(Assumptions!$B$7="Contracted",MAX(Price_floor,Compute_P0*(1-Price_decline)^$C$643),MAX(Price_floor,Compute_P0*(1-Price_decline)^MAX($C$643+E$3-$C$622)))</f>
        <v>5.7</v>
      </c>
      <c r="F635" s="48">
        <f>IF(Assumptions!$B$7="Contracted",MAX(Price_floor,Compute_P0*(1-Price_decline)^$C$643),MAX(Price_floor,Compute_P0*(1-Price_decline)^MAX($C$643+F$3-$C$622)))</f>
        <v>5.7</v>
      </c>
      <c r="G635" s="48">
        <f>IF(Assumptions!$B$7="Contracted",MAX(Price_floor,Compute_P0*(1-Price_decline)^$C$643),MAX(Price_floor,Compute_P0*(1-Price_decline)^MAX($C$643+G$3-$C$622)))</f>
        <v>5.7</v>
      </c>
      <c r="H635" s="48">
        <f>IF(Assumptions!$B$7="Contracted",MAX(Price_floor,Compute_P0*(1-Price_decline)^$C$643),MAX(Price_floor,Compute_P0*(1-Price_decline)^MAX($C$643+H$3-$C$622)))</f>
        <v>5.7</v>
      </c>
      <c r="I635" s="48">
        <f>IF(Assumptions!$B$7="Contracted",MAX(Price_floor,Compute_P0*(1-Price_decline)^$C$643),MAX(Price_floor,Compute_P0*(1-Price_decline)^MAX($C$643+I$3-$C$622)))</f>
        <v>5.7</v>
      </c>
      <c r="J635" s="48">
        <f>IF(Assumptions!$B$7="Contracted",MAX(Price_floor,Compute_P0*(1-Price_decline)^$C$643),MAX(Price_floor,Compute_P0*(1-Price_decline)^MAX($C$643+J$3-$C$622)))</f>
        <v>5.7</v>
      </c>
      <c r="K635" s="48">
        <f>IF(Assumptions!$B$7="Contracted",MAX(Price_floor,Compute_P0*(1-Price_decline)^$C$643),MAX(Price_floor,Compute_P0*(1-Price_decline)^MAX($C$643+K$3-$C$622)))</f>
        <v>5.7</v>
      </c>
      <c r="L635" s="48">
        <f>IF(Assumptions!$B$7="Contracted",MAX(Price_floor,Compute_P0*(1-Price_decline)^$C$643),MAX(Price_floor,Compute_P0*(1-Price_decline)^MAX($C$643+L$3-$C$622)))</f>
        <v>5.7</v>
      </c>
      <c r="M635" s="48">
        <f>IF(Assumptions!$B$7="Contracted",MAX(Price_floor,Compute_P0*(1-Price_decline)^$C$643),MAX(Price_floor,Compute_P0*(1-Price_decline)^MAX($C$643+M$3-$C$622)))</f>
        <v>5.7</v>
      </c>
      <c r="N635" s="48">
        <f>IF(Assumptions!$B$7="Contracted",MAX(Price_floor,Compute_P0*(1-Price_decline)^$C$643),MAX(Price_floor,Compute_P0*(1-Price_decline)^MAX($C$643+N$3-$C$622)))</f>
        <v>5.7</v>
      </c>
      <c r="O635" s="48">
        <f>IF(Assumptions!$B$7="Contracted",MAX(Price_floor,Compute_P0*(1-Price_decline)^$C$643),MAX(Price_floor,Compute_P0*(1-Price_decline)^MAX($C$643+O$3-$C$622)))</f>
        <v>5.7</v>
      </c>
      <c r="P635" s="48">
        <f>IF(Assumptions!$B$7="Contracted",MAX(Price_floor,Compute_P0*(1-Price_decline)^$C$643),MAX(Price_floor,Compute_P0*(1-Price_decline)^MAX($C$643+P$3-$C$622)))</f>
        <v>5.7</v>
      </c>
      <c r="Q635" s="48">
        <f>IF(Assumptions!$B$7="Contracted",MAX(Price_floor,Compute_P0*(1-Price_decline)^$C$643),MAX(Price_floor,Compute_P0*(1-Price_decline)^MAX($C$643+Q$3-$C$622)))</f>
        <v>5.7</v>
      </c>
      <c r="R635" s="48">
        <f>IF(Assumptions!$B$7="Contracted",MAX(Price_floor,Compute_P0*(1-Price_decline)^$C$643),MAX(Price_floor,Compute_P0*(1-Price_decline)^MAX($C$643+R$3-$C$622)))</f>
        <v>5.7</v>
      </c>
      <c r="S635" s="48">
        <f>IF(Assumptions!$B$7="Contracted",MAX(Price_floor,Compute_P0*(1-Price_decline)^$C$643),MAX(Price_floor,Compute_P0*(1-Price_decline)^MAX($C$643+S$3-$C$622)))</f>
        <v>5.7</v>
      </c>
      <c r="T635" s="48">
        <f>IF(Assumptions!$B$7="Contracted",MAX(Price_floor,Compute_P0*(1-Price_decline)^$C$643),MAX(Price_floor,Compute_P0*(1-Price_decline)^MAX($C$643+T$3-$C$622)))</f>
        <v>5.7</v>
      </c>
      <c r="U635" s="48">
        <f>IF(Assumptions!$B$7="Contracted",MAX(Price_floor,Compute_P0*(1-Price_decline)^$C$643),MAX(Price_floor,Compute_P0*(1-Price_decline)^MAX($C$643+U$3-$C$622)))</f>
        <v>5.7</v>
      </c>
      <c r="V635" s="48">
        <f>IF(Assumptions!$B$7="Contracted",MAX(Price_floor,Compute_P0*(1-Price_decline)^$C$643),MAX(Price_floor,Compute_P0*(1-Price_decline)^MAX($C$643+V$3-$C$622)))</f>
        <v>5.7</v>
      </c>
      <c r="W635" s="48">
        <f>IF(Assumptions!$B$7="Contracted",MAX(Price_floor,Compute_P0*(1-Price_decline)^$C$643),MAX(Price_floor,Compute_P0*(1-Price_decline)^MAX($C$643+W$3-$C$622)))</f>
        <v>5.7</v>
      </c>
    </row>
    <row r="636" spans="1:23" ht="15" customHeight="1" x14ac:dyDescent="0.2">
      <c r="A636" s="4" t="s">
        <v>2150</v>
      </c>
      <c r="D636" s="54">
        <f t="shared" ref="D636:W636" si="125">$C$631*D635/Compute_P0*D634</f>
        <v>1713.6662400000002</v>
      </c>
      <c r="E636" s="54">
        <f t="shared" si="125"/>
        <v>2240.9481600000004</v>
      </c>
      <c r="F636" s="54">
        <f t="shared" si="125"/>
        <v>2636.4096000000004</v>
      </c>
      <c r="G636" s="54">
        <f t="shared" si="125"/>
        <v>2636.4096000000004</v>
      </c>
      <c r="H636" s="54">
        <f t="shared" si="125"/>
        <v>2636.4096000000004</v>
      </c>
      <c r="I636" s="54">
        <f t="shared" si="125"/>
        <v>0</v>
      </c>
      <c r="J636" s="54">
        <f t="shared" si="125"/>
        <v>0</v>
      </c>
      <c r="K636" s="54">
        <f t="shared" si="125"/>
        <v>0</v>
      </c>
      <c r="L636" s="54">
        <f t="shared" si="125"/>
        <v>0</v>
      </c>
      <c r="M636" s="54">
        <f t="shared" si="125"/>
        <v>0</v>
      </c>
      <c r="N636" s="54">
        <f t="shared" si="125"/>
        <v>0</v>
      </c>
      <c r="O636" s="54">
        <f t="shared" si="125"/>
        <v>0</v>
      </c>
      <c r="P636" s="54">
        <f t="shared" si="125"/>
        <v>0</v>
      </c>
      <c r="Q636" s="54">
        <f t="shared" si="125"/>
        <v>0</v>
      </c>
      <c r="R636" s="54">
        <f t="shared" si="125"/>
        <v>0</v>
      </c>
      <c r="S636" s="54">
        <f t="shared" si="125"/>
        <v>0</v>
      </c>
      <c r="T636" s="54">
        <f t="shared" si="125"/>
        <v>0</v>
      </c>
      <c r="U636" s="54">
        <f t="shared" si="125"/>
        <v>0</v>
      </c>
      <c r="V636" s="54">
        <f t="shared" si="125"/>
        <v>0</v>
      </c>
      <c r="W636" s="54">
        <f t="shared" si="125"/>
        <v>0</v>
      </c>
    </row>
    <row r="637" spans="1:23" ht="15" customHeight="1" x14ac:dyDescent="0.2">
      <c r="A637" s="4" t="s">
        <v>42</v>
      </c>
      <c r="D637" s="54">
        <f t="shared" ref="D637:W637" si="126">D636-$C$625*D634-$C$626*D633</f>
        <v>1597.6491288000004</v>
      </c>
      <c r="E637" s="54">
        <f t="shared" si="126"/>
        <v>2114.2003992000004</v>
      </c>
      <c r="F637" s="54">
        <f t="shared" si="126"/>
        <v>2501.6138520000004</v>
      </c>
      <c r="G637" s="54">
        <f t="shared" si="126"/>
        <v>2501.6138520000004</v>
      </c>
      <c r="H637" s="54">
        <f t="shared" si="126"/>
        <v>2501.6138520000004</v>
      </c>
      <c r="I637" s="54">
        <f t="shared" si="126"/>
        <v>0</v>
      </c>
      <c r="J637" s="54">
        <f t="shared" si="126"/>
        <v>0</v>
      </c>
      <c r="K637" s="54">
        <f t="shared" si="126"/>
        <v>0</v>
      </c>
      <c r="L637" s="54">
        <f t="shared" si="126"/>
        <v>0</v>
      </c>
      <c r="M637" s="54">
        <f t="shared" si="126"/>
        <v>0</v>
      </c>
      <c r="N637" s="54">
        <f t="shared" si="126"/>
        <v>0</v>
      </c>
      <c r="O637" s="54">
        <f t="shared" si="126"/>
        <v>0</v>
      </c>
      <c r="P637" s="54">
        <f t="shared" si="126"/>
        <v>0</v>
      </c>
      <c r="Q637" s="54">
        <f t="shared" si="126"/>
        <v>0</v>
      </c>
      <c r="R637" s="54">
        <f t="shared" si="126"/>
        <v>0</v>
      </c>
      <c r="S637" s="54">
        <f t="shared" si="126"/>
        <v>0</v>
      </c>
      <c r="T637" s="54">
        <f t="shared" si="126"/>
        <v>0</v>
      </c>
      <c r="U637" s="54">
        <f t="shared" si="126"/>
        <v>0</v>
      </c>
      <c r="V637" s="54">
        <f t="shared" si="126"/>
        <v>0</v>
      </c>
      <c r="W637" s="54">
        <f t="shared" si="126"/>
        <v>0</v>
      </c>
    </row>
    <row r="638" spans="1:23" ht="15" customHeight="1" x14ac:dyDescent="0.2">
      <c r="A638" s="4" t="s">
        <v>2151</v>
      </c>
      <c r="D638" s="54">
        <f>-($C$629*Calculations!$C$15+$C$630/GPU_life)*D633</f>
        <v>-614.43166666666662</v>
      </c>
      <c r="E638" s="54">
        <f>-($C$629*Calculations!$C$15+$C$630/GPU_life)*E633</f>
        <v>-614.43166666666662</v>
      </c>
      <c r="F638" s="54">
        <f>-($C$629*Calculations!$C$15+$C$630/GPU_life)*F633</f>
        <v>-614.43166666666662</v>
      </c>
      <c r="G638" s="54">
        <f>-($C$629*Calculations!$C$15+$C$630/GPU_life)*G633</f>
        <v>-614.43166666666662</v>
      </c>
      <c r="H638" s="54">
        <f>-($C$629*Calculations!$C$15+$C$630/GPU_life)*H633</f>
        <v>-614.43166666666662</v>
      </c>
      <c r="I638" s="54">
        <f>-($C$629*Calculations!$C$15+$C$630/GPU_life)*I633</f>
        <v>0</v>
      </c>
      <c r="J638" s="54">
        <f>-($C$629*Calculations!$C$15+$C$630/GPU_life)*J633</f>
        <v>0</v>
      </c>
      <c r="K638" s="54">
        <f>-($C$629*Calculations!$C$15+$C$630/GPU_life)*K633</f>
        <v>0</v>
      </c>
      <c r="L638" s="54">
        <f>-($C$629*Calculations!$C$15+$C$630/GPU_life)*L633</f>
        <v>0</v>
      </c>
      <c r="M638" s="54">
        <f>-($C$629*Calculations!$C$15+$C$630/GPU_life)*M633</f>
        <v>0</v>
      </c>
      <c r="N638" s="54">
        <f>-($C$629*Calculations!$C$15+$C$630/GPU_life)*N633</f>
        <v>0</v>
      </c>
      <c r="O638" s="54">
        <f>-($C$629*Calculations!$C$15+$C$630/GPU_life)*O633</f>
        <v>0</v>
      </c>
      <c r="P638" s="54">
        <f>-($C$629*Calculations!$C$15+$C$630/GPU_life)*P633</f>
        <v>0</v>
      </c>
      <c r="Q638" s="54">
        <f>-($C$629*Calculations!$C$15+$C$630/GPU_life)*Q633</f>
        <v>0</v>
      </c>
      <c r="R638" s="54">
        <f>-($C$629*Calculations!$C$15+$C$630/GPU_life)*R633</f>
        <v>0</v>
      </c>
      <c r="S638" s="54">
        <f>-($C$629*Calculations!$C$15+$C$630/GPU_life)*S633</f>
        <v>0</v>
      </c>
      <c r="T638" s="54">
        <f>-($C$629*Calculations!$C$15+$C$630/GPU_life)*T633</f>
        <v>0</v>
      </c>
      <c r="U638" s="54">
        <f>-($C$629*Calculations!$C$15+$C$630/GPU_life)*U633</f>
        <v>0</v>
      </c>
      <c r="V638" s="54">
        <f>-($C$629*Calculations!$C$15+$C$630/GPU_life)*V633</f>
        <v>0</v>
      </c>
      <c r="W638" s="54">
        <f>-($C$629*Calculations!$C$15+$C$630/GPU_life)*W633</f>
        <v>0</v>
      </c>
    </row>
    <row r="639" spans="1:23" ht="15" customHeight="1" x14ac:dyDescent="0.2">
      <c r="A639" s="4" t="s">
        <v>2152</v>
      </c>
      <c r="D639" s="54">
        <f t="shared" ref="D639:W639" si="127">-$C$628*MAX(D637+D638,0)</f>
        <v>-196.64349242666677</v>
      </c>
      <c r="E639" s="54">
        <f t="shared" si="127"/>
        <v>-299.95374650666679</v>
      </c>
      <c r="F639" s="54">
        <f t="shared" si="127"/>
        <v>-377.43643706666677</v>
      </c>
      <c r="G639" s="54">
        <f t="shared" si="127"/>
        <v>-377.43643706666677</v>
      </c>
      <c r="H639" s="54">
        <f t="shared" si="127"/>
        <v>-377.43643706666677</v>
      </c>
      <c r="I639" s="54">
        <f t="shared" si="127"/>
        <v>0</v>
      </c>
      <c r="J639" s="54">
        <f t="shared" si="127"/>
        <v>0</v>
      </c>
      <c r="K639" s="54">
        <f t="shared" si="127"/>
        <v>0</v>
      </c>
      <c r="L639" s="54">
        <f t="shared" si="127"/>
        <v>0</v>
      </c>
      <c r="M639" s="54">
        <f t="shared" si="127"/>
        <v>0</v>
      </c>
      <c r="N639" s="54">
        <f t="shared" si="127"/>
        <v>0</v>
      </c>
      <c r="O639" s="54">
        <f t="shared" si="127"/>
        <v>0</v>
      </c>
      <c r="P639" s="54">
        <f t="shared" si="127"/>
        <v>0</v>
      </c>
      <c r="Q639" s="54">
        <f t="shared" si="127"/>
        <v>0</v>
      </c>
      <c r="R639" s="54">
        <f t="shared" si="127"/>
        <v>0</v>
      </c>
      <c r="S639" s="54">
        <f t="shared" si="127"/>
        <v>0</v>
      </c>
      <c r="T639" s="54">
        <f t="shared" si="127"/>
        <v>0</v>
      </c>
      <c r="U639" s="54">
        <f t="shared" si="127"/>
        <v>0</v>
      </c>
      <c r="V639" s="54">
        <f t="shared" si="127"/>
        <v>0</v>
      </c>
      <c r="W639" s="54">
        <f t="shared" si="127"/>
        <v>0</v>
      </c>
    </row>
    <row r="640" spans="1:23" ht="15" customHeight="1" x14ac:dyDescent="0.2">
      <c r="A640" s="4" t="s">
        <v>2153</v>
      </c>
      <c r="D640" s="54">
        <f>D637+D639-$C$629*IF($C$622=0,--(D$3=0),--(D$3&lt;=$C$622-1)/$C$622)-$C$629*Assumptions!$F$38*IF(AND(D$3&gt;=1,D$3&lt;=$C$622),1,0)-$C$630*(D$3=$C$622)+($C$629*Facility_salvage_pct+$C$630*GPU_salvage_pct*(1-$C$628))*(D$3=$C$622+GPU_life-1)</f>
        <v>-2848.9943636266662</v>
      </c>
      <c r="E640" s="54">
        <f>E637+E639-$C$629*IF($C$622=0,--(E$3=0),--(E$3&lt;=$C$622-1)/$C$622)-$C$629*Assumptions!$F$38*IF(AND(E$3&gt;=1,E$3&lt;=$C$622),1,0)-$C$630*(E$3=$C$622)+($C$629*Facility_salvage_pct+$C$630*GPU_salvage_pct*(1-$C$628))*(E$3=$C$622+GPU_life-1)</f>
        <v>1814.2466526933335</v>
      </c>
      <c r="F640" s="54">
        <f>F637+F639-$C$629*IF($C$622=0,--(F$3=0),--(F$3&lt;=$C$622-1)/$C$622)-$C$629*Assumptions!$F$38*IF(AND(F$3&gt;=1,F$3&lt;=$C$622),1,0)-$C$630*(F$3=$C$622)+($C$629*Facility_salvage_pct+$C$630*GPU_salvage_pct*(1-$C$628))*(F$3=$C$622+GPU_life-1)</f>
        <v>2124.1774149333337</v>
      </c>
      <c r="G640" s="54">
        <f>G637+G639-$C$629*IF($C$622=0,--(G$3=0),--(G$3&lt;=$C$622-1)/$C$622)-$C$629*Assumptions!$F$38*IF(AND(G$3&gt;=1,G$3&lt;=$C$622),1,0)-$C$630*(G$3=$C$622)+($C$629*Facility_salvage_pct+$C$630*GPU_salvage_pct*(1-$C$628))*(G$3=$C$622+GPU_life-1)</f>
        <v>2124.1774149333337</v>
      </c>
      <c r="H640" s="54">
        <f>H637+H639-$C$629*IF($C$622=0,--(H$3=0),--(H$3&lt;=$C$622-1)/$C$622)-$C$629*Assumptions!$F$38*IF(AND(H$3&gt;=1,H$3&lt;=$C$622),1,0)-$C$630*(H$3=$C$622)+($C$629*Facility_salvage_pct+$C$630*GPU_salvage_pct*(1-$C$628))*(H$3=$C$622+GPU_life-1)</f>
        <v>3104.2774149333336</v>
      </c>
      <c r="I640" s="54">
        <f>I637+I639-$C$629*IF($C$622=0,--(I$3=0),--(I$3&lt;=$C$622-1)/$C$622)-$C$629*Assumptions!$F$38*IF(AND(I$3&gt;=1,I$3&lt;=$C$622),1,0)-$C$630*(I$3=$C$622)+($C$629*Facility_salvage_pct+$C$630*GPU_salvage_pct*(1-$C$628))*(I$3=$C$622+GPU_life-1)</f>
        <v>0</v>
      </c>
      <c r="J640" s="54">
        <f>J637+J639-$C$629*IF($C$622=0,--(J$3=0),--(J$3&lt;=$C$622-1)/$C$622)-$C$629*Assumptions!$F$38*IF(AND(J$3&gt;=1,J$3&lt;=$C$622),1,0)-$C$630*(J$3=$C$622)+($C$629*Facility_salvage_pct+$C$630*GPU_salvage_pct*(1-$C$628))*(J$3=$C$622+GPU_life-1)</f>
        <v>0</v>
      </c>
      <c r="K640" s="54">
        <f>K637+K639-$C$629*IF($C$622=0,--(K$3=0),--(K$3&lt;=$C$622-1)/$C$622)-$C$629*Assumptions!$F$38*IF(AND(K$3&gt;=1,K$3&lt;=$C$622),1,0)-$C$630*(K$3=$C$622)+($C$629*Facility_salvage_pct+$C$630*GPU_salvage_pct*(1-$C$628))*(K$3=$C$622+GPU_life-1)</f>
        <v>0</v>
      </c>
      <c r="L640" s="54">
        <f>L637+L639-$C$629*IF($C$622=0,--(L$3=0),--(L$3&lt;=$C$622-1)/$C$622)-$C$629*Assumptions!$F$38*IF(AND(L$3&gt;=1,L$3&lt;=$C$622),1,0)-$C$630*(L$3=$C$622)+($C$629*Facility_salvage_pct+$C$630*GPU_salvage_pct*(1-$C$628))*(L$3=$C$622+GPU_life-1)</f>
        <v>0</v>
      </c>
      <c r="M640" s="54">
        <f>M637+M639-$C$629*IF($C$622=0,--(M$3=0),--(M$3&lt;=$C$622-1)/$C$622)-$C$629*Assumptions!$F$38*IF(AND(M$3&gt;=1,M$3&lt;=$C$622),1,0)-$C$630*(M$3=$C$622)+($C$629*Facility_salvage_pct+$C$630*GPU_salvage_pct*(1-$C$628))*(M$3=$C$622+GPU_life-1)</f>
        <v>0</v>
      </c>
      <c r="N640" s="54">
        <f>N637+N639-$C$629*IF($C$622=0,--(N$3=0),--(N$3&lt;=$C$622-1)/$C$622)-$C$629*Assumptions!$F$38*IF(AND(N$3&gt;=1,N$3&lt;=$C$622),1,0)-$C$630*(N$3=$C$622)+($C$629*Facility_salvage_pct+$C$630*GPU_salvage_pct*(1-$C$628))*(N$3=$C$622+GPU_life-1)</f>
        <v>0</v>
      </c>
      <c r="O640" s="54">
        <f>O637+O639-$C$629*IF($C$622=0,--(O$3=0),--(O$3&lt;=$C$622-1)/$C$622)-$C$629*Assumptions!$F$38*IF(AND(O$3&gt;=1,O$3&lt;=$C$622),1,0)-$C$630*(O$3=$C$622)+($C$629*Facility_salvage_pct+$C$630*GPU_salvage_pct*(1-$C$628))*(O$3=$C$622+GPU_life-1)</f>
        <v>0</v>
      </c>
      <c r="P640" s="54">
        <f>P637+P639-$C$629*IF($C$622=0,--(P$3=0),--(P$3&lt;=$C$622-1)/$C$622)-$C$629*Assumptions!$F$38*IF(AND(P$3&gt;=1,P$3&lt;=$C$622),1,0)-$C$630*(P$3=$C$622)+($C$629*Facility_salvage_pct+$C$630*GPU_salvage_pct*(1-$C$628))*(P$3=$C$622+GPU_life-1)</f>
        <v>0</v>
      </c>
      <c r="Q640" s="54">
        <f>Q637+Q639-$C$629*IF($C$622=0,--(Q$3=0),--(Q$3&lt;=$C$622-1)/$C$622)-$C$629*Assumptions!$F$38*IF(AND(Q$3&gt;=1,Q$3&lt;=$C$622),1,0)-$C$630*(Q$3=$C$622)+($C$629*Facility_salvage_pct+$C$630*GPU_salvage_pct*(1-$C$628))*(Q$3=$C$622+GPU_life-1)</f>
        <v>0</v>
      </c>
      <c r="R640" s="54">
        <f>R637+R639-$C$629*IF($C$622=0,--(R$3=0),--(R$3&lt;=$C$622-1)/$C$622)-$C$629*Assumptions!$F$38*IF(AND(R$3&gt;=1,R$3&lt;=$C$622),1,0)-$C$630*(R$3=$C$622)+($C$629*Facility_salvage_pct+$C$630*GPU_salvage_pct*(1-$C$628))*(R$3=$C$622+GPU_life-1)</f>
        <v>0</v>
      </c>
      <c r="S640" s="54">
        <f>S637+S639-$C$629*IF($C$622=0,--(S$3=0),--(S$3&lt;=$C$622-1)/$C$622)-$C$629*Assumptions!$F$38*IF(AND(S$3&gt;=1,S$3&lt;=$C$622),1,0)-$C$630*(S$3=$C$622)+($C$629*Facility_salvage_pct+$C$630*GPU_salvage_pct*(1-$C$628))*(S$3=$C$622+GPU_life-1)</f>
        <v>0</v>
      </c>
      <c r="T640" s="54">
        <f>T637+T639-$C$629*IF($C$622=0,--(T$3=0),--(T$3&lt;=$C$622-1)/$C$622)-$C$629*Assumptions!$F$38*IF(AND(T$3&gt;=1,T$3&lt;=$C$622),1,0)-$C$630*(T$3=$C$622)+($C$629*Facility_salvage_pct+$C$630*GPU_salvage_pct*(1-$C$628))*(T$3=$C$622+GPU_life-1)</f>
        <v>0</v>
      </c>
      <c r="U640" s="54">
        <f>U637+U639-$C$629*IF($C$622=0,--(U$3=0),--(U$3&lt;=$C$622-1)/$C$622)-$C$629*Assumptions!$F$38*IF(AND(U$3&gt;=1,U$3&lt;=$C$622),1,0)-$C$630*(U$3=$C$622)+($C$629*Facility_salvage_pct+$C$630*GPU_salvage_pct*(1-$C$628))*(U$3=$C$622+GPU_life-1)</f>
        <v>0</v>
      </c>
      <c r="V640" s="54">
        <f>V637+V639-$C$629*IF($C$622=0,--(V$3=0),--(V$3&lt;=$C$622-1)/$C$622)-$C$629*Assumptions!$F$38*IF(AND(V$3&gt;=1,V$3&lt;=$C$622),1,0)-$C$630*(V$3=$C$622)+($C$629*Facility_salvage_pct+$C$630*GPU_salvage_pct*(1-$C$628))*(V$3=$C$622+GPU_life-1)</f>
        <v>0</v>
      </c>
      <c r="W640" s="54">
        <f>W637+W639-$C$629*IF($C$622=0,--(W$3=0),--(W$3&lt;=$C$622-1)/$C$622)-$C$629*Assumptions!$F$38*IF(AND(W$3&gt;=1,W$3&lt;=$C$622),1,0)-$C$630*(W$3=$C$622)+($C$629*Facility_salvage_pct+$C$630*GPU_salvage_pct*(1-$C$628))*(W$3=$C$622+GPU_life-1)</f>
        <v>0</v>
      </c>
    </row>
    <row r="641" spans="1:23" ht="15" customHeight="1" x14ac:dyDescent="0.2">
      <c r="A641" s="4" t="s">
        <v>2154</v>
      </c>
      <c r="D641" s="54">
        <f t="shared" ref="D641:W641" si="128">D640*$C$624^D$3</f>
        <v>-2848.9943636266662</v>
      </c>
      <c r="E641" s="54">
        <f t="shared" si="128"/>
        <v>1698.0968295519781</v>
      </c>
      <c r="F641" s="54">
        <f t="shared" si="128"/>
        <v>1860.8999672611753</v>
      </c>
      <c r="G641" s="54">
        <f t="shared" si="128"/>
        <v>1741.7633538573334</v>
      </c>
      <c r="H641" s="54">
        <f t="shared" si="128"/>
        <v>2382.4566535090844</v>
      </c>
      <c r="I641" s="54">
        <f t="shared" si="128"/>
        <v>0</v>
      </c>
      <c r="J641" s="54">
        <f t="shared" si="128"/>
        <v>0</v>
      </c>
      <c r="K641" s="54">
        <f t="shared" si="128"/>
        <v>0</v>
      </c>
      <c r="L641" s="54">
        <f t="shared" si="128"/>
        <v>0</v>
      </c>
      <c r="M641" s="54">
        <f t="shared" si="128"/>
        <v>0</v>
      </c>
      <c r="N641" s="54">
        <f t="shared" si="128"/>
        <v>0</v>
      </c>
      <c r="O641" s="54">
        <f t="shared" si="128"/>
        <v>0</v>
      </c>
      <c r="P641" s="54">
        <f t="shared" si="128"/>
        <v>0</v>
      </c>
      <c r="Q641" s="54">
        <f t="shared" si="128"/>
        <v>0</v>
      </c>
      <c r="R641" s="54">
        <f t="shared" si="128"/>
        <v>0</v>
      </c>
      <c r="S641" s="54">
        <f t="shared" si="128"/>
        <v>0</v>
      </c>
      <c r="T641" s="54">
        <f t="shared" si="128"/>
        <v>0</v>
      </c>
      <c r="U641" s="54">
        <f t="shared" si="128"/>
        <v>0</v>
      </c>
      <c r="V641" s="54">
        <f t="shared" si="128"/>
        <v>0</v>
      </c>
      <c r="W641" s="54">
        <f t="shared" si="128"/>
        <v>0</v>
      </c>
    </row>
    <row r="642" spans="1:23" ht="15" customHeight="1" x14ac:dyDescent="0.2">
      <c r="A642" s="4" t="s">
        <v>2155</v>
      </c>
      <c r="D642" s="54">
        <f t="shared" ref="D642:W642" si="129">(D636-$C$625*D634)*(1-$C$628)*$C$624^D$3</f>
        <v>1343.0333030400004</v>
      </c>
      <c r="E642" s="54">
        <f t="shared" si="129"/>
        <v>1643.8359409958819</v>
      </c>
      <c r="F642" s="54">
        <f t="shared" si="129"/>
        <v>1810.1129132026801</v>
      </c>
      <c r="G642" s="54">
        <f t="shared" si="129"/>
        <v>1694.2277360564208</v>
      </c>
      <c r="H642" s="54">
        <f t="shared" si="129"/>
        <v>1585.7616398880764</v>
      </c>
      <c r="I642" s="54">
        <f t="shared" si="129"/>
        <v>0</v>
      </c>
      <c r="J642" s="54">
        <f t="shared" si="129"/>
        <v>0</v>
      </c>
      <c r="K642" s="54">
        <f t="shared" si="129"/>
        <v>0</v>
      </c>
      <c r="L642" s="54">
        <f t="shared" si="129"/>
        <v>0</v>
      </c>
      <c r="M642" s="54">
        <f t="shared" si="129"/>
        <v>0</v>
      </c>
      <c r="N642" s="54">
        <f t="shared" si="129"/>
        <v>0</v>
      </c>
      <c r="O642" s="54">
        <f t="shared" si="129"/>
        <v>0</v>
      </c>
      <c r="P642" s="54">
        <f t="shared" si="129"/>
        <v>0</v>
      </c>
      <c r="Q642" s="54">
        <f t="shared" si="129"/>
        <v>0</v>
      </c>
      <c r="R642" s="54">
        <f t="shared" si="129"/>
        <v>0</v>
      </c>
      <c r="S642" s="54">
        <f t="shared" si="129"/>
        <v>0</v>
      </c>
      <c r="T642" s="54">
        <f t="shared" si="129"/>
        <v>0</v>
      </c>
      <c r="U642" s="54">
        <f t="shared" si="129"/>
        <v>0</v>
      </c>
      <c r="V642" s="54">
        <f t="shared" si="129"/>
        <v>0</v>
      </c>
      <c r="W642" s="54">
        <f t="shared" si="129"/>
        <v>0</v>
      </c>
    </row>
    <row r="643" spans="1:23" ht="15" customHeight="1" x14ac:dyDescent="0.2">
      <c r="A643" t="s">
        <v>2156</v>
      </c>
      <c r="C643">
        <v>0</v>
      </c>
    </row>
    <row r="644" spans="1:23" ht="15" customHeight="1" x14ac:dyDescent="0.2">
      <c r="A644" s="22" t="s">
        <v>2157</v>
      </c>
      <c r="C644" s="51">
        <f>SUM(D641:W641)</f>
        <v>4834.222440552905</v>
      </c>
    </row>
    <row r="645" spans="1:23" ht="15" customHeight="1" x14ac:dyDescent="0.2">
      <c r="A645" s="4" t="s">
        <v>2158</v>
      </c>
      <c r="C645" s="48">
        <f>SUM(D642:W642)</f>
        <v>8076.9715331830594</v>
      </c>
    </row>
    <row r="646" spans="1:23" ht="15" customHeight="1" x14ac:dyDescent="0.2">
      <c r="A646" s="4" t="s">
        <v>63</v>
      </c>
      <c r="C646" s="31">
        <f>IF(C645&lt;=0,"n/a",IF(Paid_occupancy*(1-C644/C645)&gt;1,"&gt;100% (never)",Paid_occupancy*(1-C644/C645)))</f>
        <v>0.35330311488543165</v>
      </c>
    </row>
    <row r="648" spans="1:23" ht="15" customHeight="1" x14ac:dyDescent="0.2">
      <c r="A648" s="5"/>
      <c r="C648" s="48"/>
    </row>
    <row r="649" spans="1:23" ht="15" customHeight="1" x14ac:dyDescent="0.2">
      <c r="A649" s="5"/>
      <c r="C649" s="48"/>
    </row>
    <row r="650" spans="1:23" ht="15" customHeight="1" x14ac:dyDescent="0.2">
      <c r="A650" s="5"/>
      <c r="C650" s="28"/>
    </row>
    <row r="651" spans="1:23" ht="15" customHeight="1" x14ac:dyDescent="0.2">
      <c r="A651" s="5"/>
      <c r="C651" s="28"/>
    </row>
    <row r="652" spans="1:23" ht="15" customHeight="1" x14ac:dyDescent="0.2">
      <c r="A652" s="5"/>
      <c r="C652" s="48"/>
    </row>
    <row r="653" spans="1:23" ht="15" customHeight="1" x14ac:dyDescent="0.2">
      <c r="A653" s="5"/>
      <c r="C653" s="48"/>
    </row>
    <row r="654" spans="1:23" ht="15" customHeight="1" x14ac:dyDescent="0.2">
      <c r="A654" s="5"/>
      <c r="C654" s="48"/>
    </row>
    <row r="655" spans="1:23" ht="15" customHeight="1" x14ac:dyDescent="0.2">
      <c r="A655" s="5"/>
      <c r="C655" s="48"/>
    </row>
    <row r="656" spans="1:23" ht="15" customHeight="1" x14ac:dyDescent="0.2">
      <c r="A656" s="5"/>
      <c r="C656" s="48"/>
    </row>
    <row r="657" spans="1:9" ht="15" customHeight="1" x14ac:dyDescent="0.2">
      <c r="A657" s="5"/>
      <c r="C657" s="48"/>
    </row>
    <row r="658" spans="1:9" ht="15" customHeight="1" x14ac:dyDescent="0.2">
      <c r="A658" s="5"/>
      <c r="C658" s="48"/>
    </row>
    <row r="659" spans="1:9" ht="15" customHeight="1" x14ac:dyDescent="0.2">
      <c r="A659" s="5"/>
      <c r="C659" s="48"/>
    </row>
    <row r="660" spans="1:9" ht="15" customHeight="1" x14ac:dyDescent="0.2">
      <c r="A660" s="5"/>
      <c r="C660" s="48"/>
    </row>
    <row r="661" spans="1:9" ht="15" customHeight="1" x14ac:dyDescent="0.2">
      <c r="A661" s="5"/>
      <c r="C661" s="48"/>
    </row>
    <row r="662" spans="1:9" ht="15" customHeight="1" x14ac:dyDescent="0.2">
      <c r="A662" s="5"/>
      <c r="C662" s="48"/>
    </row>
    <row r="670" spans="1:9" ht="15" customHeight="1" x14ac:dyDescent="0.2">
      <c r="A670" s="58" t="s">
        <v>123</v>
      </c>
      <c r="C670" s="5" t="s">
        <v>2173</v>
      </c>
      <c r="D670" s="5" t="s">
        <v>2174</v>
      </c>
      <c r="E670" s="5" t="s">
        <v>2175</v>
      </c>
      <c r="F670" s="5" t="s">
        <v>2176</v>
      </c>
      <c r="G670" s="5" t="s">
        <v>2177</v>
      </c>
      <c r="H670" s="5"/>
      <c r="I670" s="5"/>
    </row>
    <row r="671" spans="1:9" ht="15" customHeight="1" x14ac:dyDescent="0.2">
      <c r="A671" s="4" t="s">
        <v>237</v>
      </c>
      <c r="C671" s="48">
        <f>C28</f>
        <v>1448.0113538157748</v>
      </c>
      <c r="D671" s="48">
        <f>C72</f>
        <v>-712.10953184647474</v>
      </c>
      <c r="E671" s="51">
        <f>IF(Assumptions!$B$7="Contracted",C671,D671)</f>
        <v>1448.0113538157748</v>
      </c>
      <c r="F671" s="31">
        <f>IF(Assumptions!$B$7="Contracted",C30,C74)</f>
        <v>0.59483429345729322</v>
      </c>
      <c r="G671" s="48">
        <f>C468</f>
        <v>4782.4226823253293</v>
      </c>
    </row>
    <row r="672" spans="1:9" ht="15" customHeight="1" x14ac:dyDescent="0.2">
      <c r="A672" s="4" t="s">
        <v>242</v>
      </c>
      <c r="C672" s="48">
        <f>C116</f>
        <v>-281.96076514693641</v>
      </c>
      <c r="D672" s="48">
        <f>C160</f>
        <v>-1063.6647904716606</v>
      </c>
      <c r="E672" s="51">
        <f>IF(Assumptions!$B$7="Contracted",C672,D672)</f>
        <v>-281.96076514693641</v>
      </c>
      <c r="F672" s="31">
        <f>IF(Assumptions!$B$7="Contracted",C118,C162)</f>
        <v>0.97870690953548811</v>
      </c>
      <c r="G672" s="48">
        <f>C512</f>
        <v>4747.3517709849639</v>
      </c>
    </row>
    <row r="673" spans="1:7" ht="15" customHeight="1" x14ac:dyDescent="0.2">
      <c r="A673" s="4" t="s">
        <v>247</v>
      </c>
      <c r="C673" s="48">
        <f>C204</f>
        <v>12.417255788229795</v>
      </c>
      <c r="D673" s="48">
        <f>C248</f>
        <v>-1132.4747405448011</v>
      </c>
      <c r="E673" s="51">
        <f>IF(Assumptions!$B$7="Contracted",C673,D673)</f>
        <v>12.417255788229795</v>
      </c>
      <c r="F673" s="31">
        <f>IF(Assumptions!$B$7="Contracted",C206,C250)</f>
        <v>0.87615746106345249</v>
      </c>
      <c r="G673" s="48">
        <f>C556</f>
        <v>4090.039003230544</v>
      </c>
    </row>
    <row r="674" spans="1:7" ht="15" customHeight="1" x14ac:dyDescent="0.2">
      <c r="A674" s="4" t="s">
        <v>252</v>
      </c>
      <c r="C674" s="48">
        <f>C292</f>
        <v>-460.96697688295785</v>
      </c>
      <c r="D674" s="48">
        <f>C336</f>
        <v>-1133.741129202602</v>
      </c>
      <c r="E674" s="51">
        <f>IF(Assumptions!$B$7="Contracted",C674,D674)</f>
        <v>-460.96697688295785</v>
      </c>
      <c r="F674" s="31" t="str">
        <f>IF(Assumptions!$B$7="Contracted",C294,C338)</f>
        <v>&gt;100% (never)</v>
      </c>
      <c r="G674" s="48">
        <f>C600</f>
        <v>5050.1705094795743</v>
      </c>
    </row>
    <row r="675" spans="1:7" ht="15" customHeight="1" x14ac:dyDescent="0.2">
      <c r="A675" s="4" t="s">
        <v>257</v>
      </c>
      <c r="C675" s="48">
        <f>C380</f>
        <v>1428.751357007483</v>
      </c>
      <c r="D675" s="48">
        <f>C424</f>
        <v>-725.56287639509299</v>
      </c>
      <c r="E675" s="51">
        <f>IF(Assumptions!$B$7="Contracted",C675,D675)</f>
        <v>1428.751357007483</v>
      </c>
      <c r="F675" s="31">
        <f>IF(Assumptions!$B$7="Contracted",C382,C426)</f>
        <v>0.59907961870825854</v>
      </c>
      <c r="G675" s="48">
        <f>C644</f>
        <v>4834.222440552905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BF8F00"/>
  </sheetPr>
  <dimension ref="A1:G35"/>
  <sheetViews>
    <sheetView showGridLines="0" zoomScale="85" zoomScaleNormal="85" workbookViewId="0">
      <pane ySplit="2" topLeftCell="A3" activePane="bottomLeft" state="frozen"/>
      <selection activeCell="R16" sqref="R16"/>
      <selection pane="bottomLeft" activeCell="A2" sqref="A2"/>
    </sheetView>
  </sheetViews>
  <sheetFormatPr baseColWidth="10" defaultColWidth="8.6640625" defaultRowHeight="15" x14ac:dyDescent="0.2"/>
  <cols>
    <col min="1" max="1" width="2" customWidth="1"/>
    <col min="2" max="2" width="52" customWidth="1"/>
    <col min="3" max="7" width="13" customWidth="1"/>
  </cols>
  <sheetData>
    <row r="1" spans="1:7" ht="15" customHeight="1" x14ac:dyDescent="0.2">
      <c r="A1" s="14" t="s">
        <v>2310</v>
      </c>
      <c r="C1" s="9" t="str">
        <f>IF(Checks!$C$4&gt;0,"MODEL IN ERROR","checks OK")</f>
        <v>checks OK</v>
      </c>
    </row>
    <row r="2" spans="1:7" ht="42" customHeight="1" x14ac:dyDescent="0.2">
      <c r="A2" t="s">
        <v>2311</v>
      </c>
    </row>
    <row r="4" spans="1:7" ht="15" customHeight="1" x14ac:dyDescent="0.2">
      <c r="B4" s="12" t="s">
        <v>2312</v>
      </c>
    </row>
    <row r="5" spans="1:7" ht="15" customHeight="1" x14ac:dyDescent="0.2">
      <c r="C5" s="8" t="str">
        <f>Comparison!C6</f>
        <v>Norway</v>
      </c>
      <c r="D5" s="8" t="str">
        <f>Comparison!D6</f>
        <v>United States</v>
      </c>
      <c r="E5" s="8" t="str">
        <f>Comparison!E6</f>
        <v>India</v>
      </c>
      <c r="F5" s="8" t="str">
        <f>Comparison!F6</f>
        <v>Ireland</v>
      </c>
      <c r="G5" s="8" t="str">
        <f>Comparison!G6</f>
        <v>Saudi Arabia</v>
      </c>
    </row>
    <row r="6" spans="1:7" ht="15" customHeight="1" x14ac:dyDescent="0.2">
      <c r="B6" s="4" t="s">
        <v>2313</v>
      </c>
      <c r="C6" s="59">
        <f>Comparison!C10</f>
        <v>6.3399999999999998E-2</v>
      </c>
      <c r="D6" s="59">
        <f>Comparison!D10</f>
        <v>6.3399999999999998E-2</v>
      </c>
      <c r="E6" s="59">
        <f>Comparison!E10</f>
        <v>7.8399999999999997E-2</v>
      </c>
      <c r="F6" s="59">
        <f>Comparison!F10</f>
        <v>6.8400000000000002E-2</v>
      </c>
      <c r="G6" s="59">
        <f>Comparison!G10</f>
        <v>6.8400000000000002E-2</v>
      </c>
    </row>
    <row r="7" spans="1:7" ht="15" customHeight="1" x14ac:dyDescent="0.2">
      <c r="B7" s="4" t="s">
        <v>2187</v>
      </c>
      <c r="C7" s="59">
        <f>Comparison!C11</f>
        <v>0.22</v>
      </c>
      <c r="D7" s="59">
        <f>Comparison!D11</f>
        <v>0.21</v>
      </c>
      <c r="E7" s="59">
        <f>Comparison!E11</f>
        <v>0.25</v>
      </c>
      <c r="F7" s="59">
        <f>Comparison!F11</f>
        <v>0.125</v>
      </c>
      <c r="G7" s="59">
        <f>Comparison!G11</f>
        <v>0.2</v>
      </c>
    </row>
    <row r="8" spans="1:7" ht="15" customHeight="1" x14ac:dyDescent="0.2">
      <c r="B8" s="4" t="s">
        <v>2314</v>
      </c>
      <c r="C8" s="42">
        <f>Comparison!C16</f>
        <v>2</v>
      </c>
      <c r="D8" s="42">
        <f>Comparison!D16</f>
        <v>5</v>
      </c>
      <c r="E8" s="42">
        <f>Comparison!E16</f>
        <v>3</v>
      </c>
      <c r="F8" s="42">
        <f>Comparison!F16</f>
        <v>6</v>
      </c>
      <c r="G8" s="42">
        <f>Comparison!G16</f>
        <v>2</v>
      </c>
    </row>
    <row r="9" spans="1:7" ht="15" customHeight="1" x14ac:dyDescent="0.2">
      <c r="B9" s="4" t="s">
        <v>2315</v>
      </c>
      <c r="C9" s="29">
        <f>Comparison!C17</f>
        <v>3.648000000000001</v>
      </c>
      <c r="D9" s="29">
        <f>Comparison!D17</f>
        <v>2.5</v>
      </c>
      <c r="E9" s="29">
        <f>Comparison!E17</f>
        <v>2.918400000000001</v>
      </c>
      <c r="F9" s="29">
        <f>Comparison!F17</f>
        <v>2.5</v>
      </c>
      <c r="G9" s="29">
        <f>Comparison!G17</f>
        <v>3.648000000000001</v>
      </c>
    </row>
    <row r="10" spans="1:7" ht="15" customHeight="1" x14ac:dyDescent="0.2">
      <c r="B10" s="4" t="s">
        <v>2316</v>
      </c>
      <c r="C10" s="65">
        <f>Comparison!C18</f>
        <v>1687.3021440000002</v>
      </c>
      <c r="D10" s="65">
        <f>Comparison!D18</f>
        <v>1156.32</v>
      </c>
      <c r="E10" s="65">
        <f>Comparison!E18</f>
        <v>1349.8417152000004</v>
      </c>
      <c r="F10" s="65">
        <f>Comparison!F18</f>
        <v>1156.32</v>
      </c>
      <c r="G10" s="65">
        <f>Comparison!G18</f>
        <v>1687.3021440000002</v>
      </c>
    </row>
    <row r="11" spans="1:7" ht="15" customHeight="1" x14ac:dyDescent="0.2">
      <c r="B11" s="4" t="s">
        <v>2309</v>
      </c>
      <c r="C11" s="65">
        <f>Comparison!C21</f>
        <v>1739.9999999999998</v>
      </c>
      <c r="D11" s="65">
        <f>Comparison!D21</f>
        <v>1760.0000000000002</v>
      </c>
      <c r="E11" s="65">
        <f>Comparison!E21</f>
        <v>1750</v>
      </c>
      <c r="F11" s="65">
        <f>Comparison!F21</f>
        <v>1780</v>
      </c>
      <c r="G11" s="65">
        <f>Comparison!G21</f>
        <v>1730</v>
      </c>
    </row>
    <row r="12" spans="1:7" ht="15" customHeight="1" x14ac:dyDescent="0.2">
      <c r="B12" s="4" t="s">
        <v>2317</v>
      </c>
      <c r="C12" s="65">
        <f>Comparison!C20</f>
        <v>2520</v>
      </c>
      <c r="D12" s="65">
        <f>Comparison!D20</f>
        <v>2520</v>
      </c>
      <c r="E12" s="65">
        <f>Comparison!E20</f>
        <v>2520</v>
      </c>
      <c r="F12" s="65">
        <f>Comparison!F20</f>
        <v>2520</v>
      </c>
      <c r="G12" s="65">
        <f>Comparison!G20</f>
        <v>2520</v>
      </c>
    </row>
    <row r="13" spans="1:7" ht="15" customHeight="1" x14ac:dyDescent="0.2">
      <c r="B13" s="4" t="s">
        <v>2318</v>
      </c>
      <c r="C13" s="65">
        <f>Comparison!C19</f>
        <v>46.098623999999994</v>
      </c>
      <c r="D13" s="65">
        <f>Comparison!D19</f>
        <v>60.128639999999997</v>
      </c>
      <c r="E13" s="65">
        <f>Comparison!E19</f>
        <v>109.85039999999999</v>
      </c>
      <c r="F13" s="65">
        <f>Comparison!F19</f>
        <v>138.75839999999999</v>
      </c>
      <c r="G13" s="65">
        <f>Comparison!G19</f>
        <v>53.653247999999998</v>
      </c>
    </row>
    <row r="14" spans="1:7" ht="15" customHeight="1" x14ac:dyDescent="0.2">
      <c r="B14" s="4" t="s">
        <v>2319</v>
      </c>
      <c r="C14" s="65">
        <f>Comparison!C22</f>
        <v>86.47</v>
      </c>
      <c r="D14" s="65">
        <f>Comparison!D22</f>
        <v>101.48</v>
      </c>
      <c r="E14" s="65">
        <f>Comparison!E22</f>
        <v>90.754999999999995</v>
      </c>
      <c r="F14" s="65">
        <f>Comparison!F22</f>
        <v>82.23</v>
      </c>
      <c r="G14" s="65">
        <f>Comparison!G22</f>
        <v>81.142499999999998</v>
      </c>
    </row>
    <row r="15" spans="1:7" ht="15" customHeight="1" x14ac:dyDescent="0.2">
      <c r="B15" s="4" t="s">
        <v>2320</v>
      </c>
      <c r="C15" s="65">
        <f>Comparison!C38</f>
        <v>1448.0113538157748</v>
      </c>
      <c r="D15" s="65">
        <f>Comparison!D38</f>
        <v>-281.96076514693641</v>
      </c>
      <c r="E15" s="65">
        <f>Comparison!E38</f>
        <v>12.417255788229795</v>
      </c>
      <c r="F15" s="65">
        <f>Comparison!F38</f>
        <v>-460.96697688295785</v>
      </c>
      <c r="G15" s="65">
        <f>Comparison!G38</f>
        <v>1428.751357007483</v>
      </c>
    </row>
    <row r="16" spans="1:7" ht="15" customHeight="1" x14ac:dyDescent="0.2">
      <c r="B16" s="4" t="s">
        <v>2321</v>
      </c>
      <c r="C16" s="66">
        <f>1/(1+C6)</f>
        <v>0.94037991348504801</v>
      </c>
      <c r="D16" s="66">
        <f>1/(1+D6)</f>
        <v>0.94037991348504801</v>
      </c>
      <c r="E16" s="66">
        <f>1/(1+E6)</f>
        <v>0.92729970326409494</v>
      </c>
      <c r="F16" s="66">
        <f>1/(1+F6)</f>
        <v>0.93597903406963678</v>
      </c>
      <c r="G16" s="66">
        <f>1/(1+G6)</f>
        <v>0.93597903406963678</v>
      </c>
    </row>
    <row r="17" spans="2:7" ht="15" customHeight="1" x14ac:dyDescent="0.2">
      <c r="B17" s="4" t="s">
        <v>2322</v>
      </c>
      <c r="C17" s="66">
        <f>C16^(C8)*(1-C16^GPU_life)/(1-C16)</f>
        <v>3.9248504885887781</v>
      </c>
      <c r="D17" s="66">
        <f>D16^(D8)*(1-D16^GPU_life)/(1-D16)</f>
        <v>3.2638722334276427</v>
      </c>
      <c r="E17" s="66">
        <f>E16^(E8)*(1-E16^GPU_life)/(1-E16)</f>
        <v>3.4477973864639284</v>
      </c>
      <c r="F17" s="66">
        <f>F16^(F8)*(1-F16^GPU_life)/(1-F16)</f>
        <v>2.9580006583756413</v>
      </c>
      <c r="G17" s="66">
        <f>G16^(G8)*(1-G16^GPU_life)/(1-G16)</f>
        <v>3.8541958879414393</v>
      </c>
    </row>
    <row r="18" spans="2:7" ht="15" customHeight="1" x14ac:dyDescent="0.2">
      <c r="B18" s="4" t="s">
        <v>2323</v>
      </c>
      <c r="C18" s="66">
        <f>C17-(1-Ramp_yr1)*C16^(C8)-(1-Ramp_yr2)*C16^(C8+1)</f>
        <v>3.4906017327370868</v>
      </c>
      <c r="D18" s="66">
        <f>D17-(1-Ramp_yr1)*D16^(D8)-(1-Ramp_yr2)*D16^(D8+1)</f>
        <v>2.9027546671036188</v>
      </c>
      <c r="E18" s="66">
        <f>E17-(1-Ramp_yr1)*E16^(E8)-(1-Ramp_yr2)*E16^(E8+1)</f>
        <v>3.0578073192561237</v>
      </c>
      <c r="F18" s="66">
        <f>F17-(1-Ramp_yr1)*F16^(F8)-(1-Ramp_yr2)*F16^(F8+1)</f>
        <v>2.6282813347205236</v>
      </c>
      <c r="G18" s="66">
        <f>G17-(1-Ramp_yr1)*G16^(G8)-(1-Ramp_yr2)*G16^(G8+1)</f>
        <v>3.4245804117554952</v>
      </c>
    </row>
    <row r="19" spans="2:7" ht="15" customHeight="1" x14ac:dyDescent="0.2">
      <c r="B19" s="4" t="s">
        <v>2324</v>
      </c>
      <c r="C19" s="67">
        <f>C10*C18*(1-C7)</f>
        <v>4593.9658342479743</v>
      </c>
      <c r="D19" s="67">
        <f>D10*D18*(1-D7)</f>
        <v>2651.6454885655526</v>
      </c>
      <c r="E19" s="67">
        <f>E10*E18*(1-E7)</f>
        <v>3095.6669074318511</v>
      </c>
      <c r="F19" s="67">
        <f>F10*F18*(1-F7)</f>
        <v>2659.2424888435312</v>
      </c>
      <c r="G19" s="67">
        <f>G10*G18*(1-G7)</f>
        <v>4622.6414968443605</v>
      </c>
    </row>
    <row r="20" spans="2:7" ht="15" customHeight="1" x14ac:dyDescent="0.2">
      <c r="B20" s="12" t="s">
        <v>2325</v>
      </c>
      <c r="C20" s="68">
        <f>C9*(1-C15/C19)</f>
        <v>2.4981557022170024</v>
      </c>
      <c r="D20" s="68">
        <f>D9*(1-D15/D19)</f>
        <v>2.7658356540898943</v>
      </c>
      <c r="E20" s="68">
        <f>E9*(1-E15/E19)</f>
        <v>2.9066937924602394</v>
      </c>
      <c r="F20" s="68">
        <f>F9*(1-F15/F19)</f>
        <v>2.9333630524640739</v>
      </c>
      <c r="G20" s="68">
        <f>G9*(1-G15/G19)</f>
        <v>2.5204877423608734</v>
      </c>
    </row>
    <row r="22" spans="2:7" ht="15" customHeight="1" x14ac:dyDescent="0.2">
      <c r="B22" s="12" t="s">
        <v>2326</v>
      </c>
      <c r="C22" s="53">
        <f>MIN(C20,G20)</f>
        <v>2.4981557022170024</v>
      </c>
    </row>
    <row r="24" spans="2:7" ht="15" customHeight="1" x14ac:dyDescent="0.2">
      <c r="B24" s="12" t="s">
        <v>2327</v>
      </c>
    </row>
    <row r="25" spans="2:7" ht="15" customHeight="1" x14ac:dyDescent="0.2">
      <c r="B25" t="s">
        <v>2328</v>
      </c>
      <c r="C25" s="29">
        <f>Floor_ext_low</f>
        <v>2.5</v>
      </c>
    </row>
    <row r="26" spans="2:7" ht="15" customHeight="1" x14ac:dyDescent="0.2">
      <c r="B26" t="s">
        <v>2329</v>
      </c>
      <c r="C26" s="29">
        <f>Floor_ext_high</f>
        <v>3</v>
      </c>
    </row>
    <row r="28" spans="2:7" ht="15" customHeight="1" x14ac:dyDescent="0.2">
      <c r="B28" s="12" t="s">
        <v>2330</v>
      </c>
    </row>
    <row r="29" spans="2:7" ht="15" customHeight="1" x14ac:dyDescent="0.2">
      <c r="B29" t="s">
        <v>2331</v>
      </c>
      <c r="C29" s="29">
        <f>Assumptions!$E$66</f>
        <v>2.5</v>
      </c>
    </row>
    <row r="30" spans="2:7" ht="15" customHeight="1" x14ac:dyDescent="0.2">
      <c r="B30" t="s">
        <v>2332</v>
      </c>
      <c r="C30" s="28">
        <f>C22</f>
        <v>2.4981557022170024</v>
      </c>
    </row>
    <row r="31" spans="2:7" ht="15" customHeight="1" x14ac:dyDescent="0.2">
      <c r="B31" t="s">
        <v>2333</v>
      </c>
      <c r="C31" s="9">
        <f>IF(AND(Assumptions!$B$4="Base",Assumptions!$B$7="Contracted"),--(ABS(Assumptions!$G$66-C22)&gt;FloorTolerance),0)</f>
        <v>0</v>
      </c>
    </row>
    <row r="32" spans="2:7" ht="15" customHeight="1" x14ac:dyDescent="0.2">
      <c r="B32" t="s">
        <v>2334</v>
      </c>
      <c r="C32" s="9">
        <f>--NOT(AND(C25&lt;=Assumptions!$E$66,Assumptions!$E$66&lt;=C26))</f>
        <v>0</v>
      </c>
    </row>
    <row r="34" spans="2:2" ht="93" customHeight="1" x14ac:dyDescent="0.2">
      <c r="B34" s="13" t="s">
        <v>2335</v>
      </c>
    </row>
    <row r="35" spans="2:2" ht="47" customHeight="1" x14ac:dyDescent="0.2">
      <c r="B35" s="13" t="s">
        <v>2336</v>
      </c>
    </row>
  </sheetData>
  <sheetProtection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375623"/>
  </sheetPr>
  <dimension ref="A1:F1"/>
  <sheetViews>
    <sheetView showGridLines="0" zoomScale="85" zoomScaleNormal="85" workbookViewId="0"/>
  </sheetViews>
  <sheetFormatPr baseColWidth="10" defaultColWidth="8.6640625" defaultRowHeight="15" x14ac:dyDescent="0.2"/>
  <cols>
    <col min="1" max="1" width="4" customWidth="1"/>
  </cols>
  <sheetData>
    <row r="1" spans="1:6" ht="15.75" customHeight="1" x14ac:dyDescent="0.2">
      <c r="A1" s="18" t="s">
        <v>2178</v>
      </c>
      <c r="B1" s="19"/>
      <c r="C1" s="19"/>
      <c r="D1" s="19"/>
      <c r="E1" s="19"/>
      <c r="F1" s="19"/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48235"/>
  </sheetPr>
  <dimension ref="A1:H52"/>
  <sheetViews>
    <sheetView showGridLines="0" tabSelected="1" zoomScale="85" zoomScaleNormal="85" workbookViewId="0">
      <pane xSplit="2" ySplit="6" topLeftCell="C7" activePane="bottomRight" state="frozen"/>
      <selection activeCell="R16" sqref="R16"/>
      <selection pane="topRight" activeCell="R16" sqref="R16"/>
      <selection pane="bottomLeft" activeCell="R16" sqref="R16"/>
      <selection pane="bottomRight" activeCell="C1" sqref="C1"/>
    </sheetView>
  </sheetViews>
  <sheetFormatPr baseColWidth="10" defaultColWidth="8.6640625" defaultRowHeight="15" x14ac:dyDescent="0.2"/>
  <cols>
    <col min="1" max="1" width="4" customWidth="1"/>
    <col min="2" max="2" width="44" customWidth="1"/>
    <col min="3" max="7" width="14" customWidth="1"/>
  </cols>
  <sheetData>
    <row r="1" spans="1:7" ht="17.25" customHeight="1" x14ac:dyDescent="0.2">
      <c r="A1" s="1" t="s">
        <v>2179</v>
      </c>
      <c r="C1" s="9" t="str">
        <f>IF(Checks!$C$4&gt;0,"MODEL IN ERROR","checks OK")</f>
        <v>checks OK</v>
      </c>
    </row>
    <row r="2" spans="1:7" ht="15" customHeight="1" x14ac:dyDescent="0.2">
      <c r="A2" s="5" t="s">
        <v>2180</v>
      </c>
    </row>
    <row r="4" spans="1:7" ht="15" customHeight="1" x14ac:dyDescent="0.2">
      <c r="A4" s="4" t="s">
        <v>2181</v>
      </c>
      <c r="B4" s="8" t="str">
        <f>Assumptions!$B$4</f>
        <v>Base</v>
      </c>
      <c r="D4" s="4" t="s">
        <v>113</v>
      </c>
      <c r="E4" s="2" t="str">
        <f>IF(Checks!$C$4&gt;0,"MODEL IN ERROR","checks OK")</f>
        <v>checks OK</v>
      </c>
    </row>
    <row r="6" spans="1:7" ht="15" customHeight="1" x14ac:dyDescent="0.2">
      <c r="A6" s="135" t="s">
        <v>2182</v>
      </c>
      <c r="B6" s="136"/>
      <c r="C6" s="52" t="s">
        <v>237</v>
      </c>
      <c r="D6" s="52" t="s">
        <v>242</v>
      </c>
      <c r="E6" s="52" t="s">
        <v>247</v>
      </c>
      <c r="F6" s="52" t="s">
        <v>252</v>
      </c>
      <c r="G6" s="52" t="s">
        <v>257</v>
      </c>
    </row>
    <row r="7" spans="1:7" ht="15" customHeight="1" x14ac:dyDescent="0.2">
      <c r="A7" s="5" t="s">
        <v>2183</v>
      </c>
    </row>
    <row r="8" spans="1:7" ht="15" customHeight="1" x14ac:dyDescent="0.2">
      <c r="B8" s="4" t="s">
        <v>2184</v>
      </c>
      <c r="C8" s="24">
        <f>INDEX(Assumptions!$C$50:$E$54,MATCH(C$6,Assumptions!$B$50:$B$54,0),MATCH($B$4,Assumptions!$D$9:$F$9,0))</f>
        <v>52</v>
      </c>
      <c r="D8" s="24">
        <f>INDEX(Assumptions!$C$50:$E$54,MATCH(D$6,Assumptions!$B$50:$B$54,0),MATCH($B$4,Assumptions!$D$9:$F$9,0))</f>
        <v>60</v>
      </c>
      <c r="E8" s="24">
        <f>INDEX(Assumptions!$C$50:$E$54,MATCH(E$6,Assumptions!$B$50:$B$54,0),MATCH($B$4,Assumptions!$D$9:$F$9,0))</f>
        <v>95</v>
      </c>
      <c r="F8" s="24">
        <f>INDEX(Assumptions!$C$50:$E$54,MATCH(F$6,Assumptions!$B$50:$B$54,0),MATCH($B$4,Assumptions!$D$9:$F$9,0))</f>
        <v>150</v>
      </c>
      <c r="G8" s="24">
        <f>INDEX(Assumptions!$C$50:$E$54,MATCH(G$6,Assumptions!$B$50:$B$54,0),MATCH($B$4,Assumptions!$D$9:$F$9,0))</f>
        <v>48</v>
      </c>
    </row>
    <row r="9" spans="1:7" ht="15" customHeight="1" x14ac:dyDescent="0.2">
      <c r="B9" s="4" t="s">
        <v>2185</v>
      </c>
      <c r="C9" s="29">
        <f>INDEX(Assumptions!$F$50:$H$54,MATCH(C$6,Assumptions!$B$50:$B$54,0),MATCH($B$4,Assumptions!$D$9:$F$9,0))</f>
        <v>2</v>
      </c>
      <c r="D9" s="29">
        <f>INDEX(Assumptions!$F$50:$H$54,MATCH(D$6,Assumptions!$B$50:$B$54,0),MATCH($B$4,Assumptions!$D$9:$F$9,0))</f>
        <v>4.5</v>
      </c>
      <c r="E9" s="29">
        <f>INDEX(Assumptions!$F$50:$H$54,MATCH(E$6,Assumptions!$B$50:$B$54,0),MATCH($B$4,Assumptions!$D$9:$F$9,0))</f>
        <v>3</v>
      </c>
      <c r="F9" s="29">
        <f>INDEX(Assumptions!$F$50:$H$54,MATCH(F$6,Assumptions!$B$50:$B$54,0),MATCH($B$4,Assumptions!$D$9:$F$9,0))</f>
        <v>6</v>
      </c>
      <c r="G9" s="29">
        <f>INDEX(Assumptions!$F$50:$H$54,MATCH(G$6,Assumptions!$B$50:$B$54,0),MATCH($B$4,Assumptions!$D$9:$F$9,0))</f>
        <v>2</v>
      </c>
    </row>
    <row r="10" spans="1:7" ht="15" customHeight="1" x14ac:dyDescent="0.2">
      <c r="B10" s="4" t="s">
        <v>2186</v>
      </c>
      <c r="C10" s="59">
        <f>INDEX(Assumptions!$I$50:$K$54,MATCH(C$6,Assumptions!$B$50:$B$54,0),MATCH($B$4,Assumptions!$D$9:$F$9,0))+Deal_WACC_premium</f>
        <v>6.3399999999999998E-2</v>
      </c>
      <c r="D10" s="59">
        <f>INDEX(Assumptions!$I$50:$K$54,MATCH(D$6,Assumptions!$B$50:$B$54,0),MATCH($B$4,Assumptions!$D$9:$F$9,0))+Deal_WACC_premium</f>
        <v>6.3399999999999998E-2</v>
      </c>
      <c r="E10" s="59">
        <f>INDEX(Assumptions!$I$50:$K$54,MATCH(E$6,Assumptions!$B$50:$B$54,0),MATCH($B$4,Assumptions!$D$9:$F$9,0))+Deal_WACC_premium</f>
        <v>7.8399999999999997E-2</v>
      </c>
      <c r="F10" s="59">
        <f>INDEX(Assumptions!$I$50:$K$54,MATCH(F$6,Assumptions!$B$50:$B$54,0),MATCH($B$4,Assumptions!$D$9:$F$9,0))+Deal_WACC_premium</f>
        <v>6.8400000000000002E-2</v>
      </c>
      <c r="G10" s="59">
        <f>INDEX(Assumptions!$I$50:$K$54,MATCH(G$6,Assumptions!$B$50:$B$54,0),MATCH($B$4,Assumptions!$D$9:$F$9,0))+Deal_WACC_premium</f>
        <v>6.8400000000000002E-2</v>
      </c>
    </row>
    <row r="11" spans="1:7" ht="15" customHeight="1" x14ac:dyDescent="0.2">
      <c r="B11" s="4" t="s">
        <v>2187</v>
      </c>
      <c r="C11" s="59">
        <f>INDEX(Assumptions!$L$50:$L$54,MATCH(C$6,Assumptions!$B$50:$B$54,0),1)</f>
        <v>0.22</v>
      </c>
      <c r="D11" s="59">
        <f>INDEX(Assumptions!$L$50:$L$54,MATCH(D$6,Assumptions!$B$50:$B$54,0),1)</f>
        <v>0.21</v>
      </c>
      <c r="E11" s="59">
        <f>INDEX(Assumptions!$L$50:$L$54,MATCH(E$6,Assumptions!$B$50:$B$54,0),1)</f>
        <v>0.25</v>
      </c>
      <c r="F11" s="59">
        <f>INDEX(Assumptions!$L$50:$L$54,MATCH(F$6,Assumptions!$B$50:$B$54,0),1)</f>
        <v>0.125</v>
      </c>
      <c r="G11" s="59">
        <f>INDEX(Assumptions!$L$50:$L$54,MATCH(G$6,Assumptions!$B$50:$B$54,0),1)</f>
        <v>0.2</v>
      </c>
    </row>
    <row r="12" spans="1:7" ht="15" customHeight="1" x14ac:dyDescent="0.2">
      <c r="B12" s="4" t="s">
        <v>2188</v>
      </c>
      <c r="C12" s="29">
        <f>INDEX(Assumptions!$M$50:$M$54,MATCH(C$6,Assumptions!$B$50:$B$54,0),1)</f>
        <v>1.1499999999999999</v>
      </c>
      <c r="D12" s="29">
        <f>INDEX(Assumptions!$M$50:$M$54,MATCH(D$6,Assumptions!$B$50:$B$54,0),1)</f>
        <v>1.3</v>
      </c>
      <c r="E12" s="29">
        <f>INDEX(Assumptions!$M$50:$M$54,MATCH(E$6,Assumptions!$B$50:$B$54,0),1)</f>
        <v>1.5</v>
      </c>
      <c r="F12" s="29">
        <f>INDEX(Assumptions!$M$50:$M$54,MATCH(F$6,Assumptions!$B$50:$B$54,0),1)</f>
        <v>1.2</v>
      </c>
      <c r="G12" s="29">
        <f>INDEX(Assumptions!$M$50:$M$54,MATCH(G$6,Assumptions!$B$50:$B$54,0),1)</f>
        <v>1.45</v>
      </c>
    </row>
    <row r="13" spans="1:7" ht="15" customHeight="1" x14ac:dyDescent="0.2">
      <c r="B13" s="4" t="s">
        <v>2189</v>
      </c>
      <c r="C13" s="50">
        <f>INDEX(Assumptions!$N$50:$N$54,MATCH(C$6,Assumptions!$B$50:$B$54,0),1)</f>
        <v>0.4</v>
      </c>
      <c r="D13" s="50">
        <f>INDEX(Assumptions!$N$50:$N$54,MATCH(D$6,Assumptions!$B$50:$B$54,0),1)</f>
        <v>0.6</v>
      </c>
      <c r="E13" s="50">
        <f>INDEX(Assumptions!$N$50:$N$54,MATCH(E$6,Assumptions!$B$50:$B$54,0),1)</f>
        <v>0.5</v>
      </c>
      <c r="F13" s="50">
        <f>INDEX(Assumptions!$N$50:$N$54,MATCH(F$6,Assumptions!$B$50:$B$54,0),1)</f>
        <v>0.8</v>
      </c>
      <c r="G13" s="50">
        <f>INDEX(Assumptions!$N$50:$N$54,MATCH(G$6,Assumptions!$B$50:$B$54,0),1)</f>
        <v>0.3</v>
      </c>
    </row>
    <row r="14" spans="1:7" ht="15" customHeight="1" x14ac:dyDescent="0.2">
      <c r="B14" s="4" t="s">
        <v>2190</v>
      </c>
      <c r="C14" s="32">
        <f>INDEX(Assumptions!$O$50:$O$54,MATCH(C$6,Assumptions!$B$50:$B$54,0),1)</f>
        <v>3.0000000000000001E-3</v>
      </c>
      <c r="D14" s="32">
        <f>INDEX(Assumptions!$O$50:$O$54,MATCH(D$6,Assumptions!$B$50:$B$54,0),1)</f>
        <v>0.01</v>
      </c>
      <c r="E14" s="32">
        <f>INDEX(Assumptions!$O$50:$O$54,MATCH(E$6,Assumptions!$B$50:$B$54,0),1)</f>
        <v>5.0000000000000001E-3</v>
      </c>
      <c r="F14" s="32">
        <f>INDEX(Assumptions!$O$50:$O$54,MATCH(F$6,Assumptions!$B$50:$B$54,0),1)</f>
        <v>1E-3</v>
      </c>
      <c r="G14" s="32">
        <f>INDEX(Assumptions!$O$50:$O$54,MATCH(G$6,Assumptions!$B$50:$B$54,0),1)</f>
        <v>5.0000000000000001E-4</v>
      </c>
    </row>
    <row r="15" spans="1:7" ht="15" customHeight="1" x14ac:dyDescent="0.2">
      <c r="A15" s="5" t="s">
        <v>2191</v>
      </c>
    </row>
    <row r="16" spans="1:7" ht="15" customHeight="1" x14ac:dyDescent="0.2">
      <c r="B16" s="4" t="s">
        <v>2192</v>
      </c>
      <c r="C16" s="30">
        <f>ROUND(C9,0)</f>
        <v>2</v>
      </c>
      <c r="D16" s="30">
        <f>ROUND(D9,0)</f>
        <v>5</v>
      </c>
      <c r="E16" s="30">
        <f>ROUND(E9,0)</f>
        <v>3</v>
      </c>
      <c r="F16" s="30">
        <f>ROUND(F9,0)</f>
        <v>6</v>
      </c>
      <c r="G16" s="30">
        <f>ROUND(G9,0)</f>
        <v>2</v>
      </c>
    </row>
    <row r="17" spans="2:7" ht="15" customHeight="1" x14ac:dyDescent="0.2">
      <c r="B17" s="4" t="s">
        <v>2193</v>
      </c>
      <c r="C17" s="48">
        <f>MAX(Price_floor,Compute_P0*(1-Price_decline)^C9)</f>
        <v>3.648000000000001</v>
      </c>
      <c r="D17" s="48">
        <f>MAX(Price_floor,Compute_P0*(1-Price_decline)^D9)</f>
        <v>2.5</v>
      </c>
      <c r="E17" s="48">
        <f>MAX(Price_floor,Compute_P0*(1-Price_decline)^E9)</f>
        <v>2.918400000000001</v>
      </c>
      <c r="F17" s="48">
        <f>MAX(Price_floor,Compute_P0*(1-Price_decline)^F9)</f>
        <v>2.5</v>
      </c>
      <c r="G17" s="48">
        <f>MAX(Price_floor,Compute_P0*(1-Price_decline)^G9)</f>
        <v>3.648000000000001</v>
      </c>
    </row>
    <row r="18" spans="2:7" ht="15" customHeight="1" x14ac:dyDescent="0.2">
      <c r="B18" s="4" t="s">
        <v>2194</v>
      </c>
      <c r="C18" s="48">
        <f>Calculations!$C$9*C17/Compute_P0</f>
        <v>1687.3021440000002</v>
      </c>
      <c r="D18" s="48">
        <f>Calculations!$C$9*D17/Compute_P0</f>
        <v>1156.32</v>
      </c>
      <c r="E18" s="48">
        <f>Calculations!$C$9*E17/Compute_P0</f>
        <v>1349.8417152000004</v>
      </c>
      <c r="F18" s="48">
        <f>Calculations!$C$9*F17/Compute_P0</f>
        <v>1156.32</v>
      </c>
      <c r="G18" s="48">
        <f>Calculations!$C$9*G17/Compute_P0</f>
        <v>1687.3021440000002</v>
      </c>
    </row>
    <row r="19" spans="2:7" ht="15" customHeight="1" x14ac:dyDescent="0.2">
      <c r="B19" s="4" t="s">
        <v>2195</v>
      </c>
      <c r="C19" s="48">
        <f>IT_load_MW*C12*Hours_per_year*C8*Paid_occupancy/Unit_scale</f>
        <v>46.098623999999994</v>
      </c>
      <c r="D19" s="48">
        <f>IT_load_MW*D12*Hours_per_year*D8*Paid_occupancy/Unit_scale</f>
        <v>60.128639999999997</v>
      </c>
      <c r="E19" s="48">
        <f>IT_load_MW*E12*Hours_per_year*E8*Paid_occupancy/Unit_scale</f>
        <v>109.85039999999999</v>
      </c>
      <c r="F19" s="48">
        <f>IT_load_MW*F12*Hours_per_year*F8*Paid_occupancy/Unit_scale</f>
        <v>138.75839999999999</v>
      </c>
      <c r="G19" s="48">
        <f>IT_load_MW*G12*Hours_per_year*G8*Paid_occupancy/Unit_scale</f>
        <v>53.653247999999998</v>
      </c>
    </row>
    <row r="20" spans="2:7" ht="15" customHeight="1" x14ac:dyDescent="0.2">
      <c r="B20" s="4" t="s">
        <v>2196</v>
      </c>
      <c r="C20" s="50">
        <f>Calculations!$C$6</f>
        <v>2520</v>
      </c>
      <c r="D20" s="50">
        <f>Calculations!$C$6</f>
        <v>2520</v>
      </c>
      <c r="E20" s="50">
        <f>Calculations!$C$6</f>
        <v>2520</v>
      </c>
      <c r="F20" s="50">
        <f>Calculations!$C$6</f>
        <v>2520</v>
      </c>
      <c r="G20" s="50">
        <f>Calculations!$C$6</f>
        <v>2520</v>
      </c>
    </row>
    <row r="21" spans="2:7" ht="15" customHeight="1" x14ac:dyDescent="0.2">
      <c r="B21" s="4" t="s">
        <v>2197</v>
      </c>
      <c r="C21" s="48">
        <f>IT_load_MW*(Facility_capex_MW+C13)</f>
        <v>1739.9999999999998</v>
      </c>
      <c r="D21" s="48">
        <f>IT_load_MW*(Facility_capex_MW+D13)</f>
        <v>1760.0000000000002</v>
      </c>
      <c r="E21" s="48">
        <f>IT_load_MW*(Facility_capex_MW+E13)</f>
        <v>1750</v>
      </c>
      <c r="F21" s="48">
        <f>IT_load_MW*(Facility_capex_MW+F13)</f>
        <v>1780</v>
      </c>
      <c r="G21" s="48">
        <f>IT_load_MW*(Facility_capex_MW+G13)</f>
        <v>1730</v>
      </c>
    </row>
    <row r="22" spans="2:7" ht="15" customHeight="1" x14ac:dyDescent="0.2">
      <c r="B22" s="4" t="s">
        <v>2198</v>
      </c>
      <c r="C22" s="48">
        <f>IT_load_MW*OM_fixed+Insurance_rate*C20+C14*(C21+C20)*(1-Prop_tax_abatement)</f>
        <v>86.47</v>
      </c>
      <c r="D22" s="48">
        <f>IT_load_MW*OM_fixed+Insurance_rate*D20+D14*(D21+D20)*(1-Prop_tax_abatement)</f>
        <v>101.48</v>
      </c>
      <c r="E22" s="48">
        <f>IT_load_MW*OM_fixed+Insurance_rate*E20+E14*(E21+E20)*(1-Prop_tax_abatement)</f>
        <v>90.754999999999995</v>
      </c>
      <c r="F22" s="48">
        <f>IT_load_MW*OM_fixed+Insurance_rate*F20+F14*(F21+F20)*(1-Prop_tax_abatement)</f>
        <v>82.23</v>
      </c>
      <c r="G22" s="48">
        <f>IT_load_MW*OM_fixed+Insurance_rate*G20+G14*(G21+G20)*(1-Prop_tax_abatement)</f>
        <v>81.142499999999998</v>
      </c>
    </row>
    <row r="23" spans="2:7" ht="15" customHeight="1" x14ac:dyDescent="0.2">
      <c r="B23" s="4" t="s">
        <v>2199</v>
      </c>
      <c r="C23" s="48">
        <f>C18-C19-C22</f>
        <v>1554.7335200000002</v>
      </c>
      <c r="D23" s="48">
        <f>D18-D19-D22</f>
        <v>994.71136000000001</v>
      </c>
      <c r="E23" s="48">
        <f>E18-E19-E22</f>
        <v>1149.2363152000003</v>
      </c>
      <c r="F23" s="48">
        <f>F18-F19-F22</f>
        <v>935.33159999999998</v>
      </c>
      <c r="G23" s="48">
        <f>G18-G19-G22</f>
        <v>1552.5063960000002</v>
      </c>
    </row>
    <row r="24" spans="2:7" ht="15" customHeight="1" x14ac:dyDescent="0.2">
      <c r="B24" s="4" t="s">
        <v>2200</v>
      </c>
      <c r="C24" s="48">
        <f>C20+C21</f>
        <v>4260</v>
      </c>
      <c r="D24" s="48">
        <f>D20+D21</f>
        <v>4280</v>
      </c>
      <c r="E24" s="48">
        <f>E20+E21</f>
        <v>4270</v>
      </c>
      <c r="F24" s="48">
        <f>F20+F21</f>
        <v>4300</v>
      </c>
      <c r="G24" s="48">
        <f>G20+G21</f>
        <v>4250</v>
      </c>
    </row>
    <row r="25" spans="2:7" ht="15" customHeight="1" x14ac:dyDescent="0.2">
      <c r="B25" s="4" t="s">
        <v>2201</v>
      </c>
      <c r="C25" s="30">
        <f>C8*C12</f>
        <v>59.8</v>
      </c>
      <c r="D25" s="30">
        <f>D8*D12</f>
        <v>78</v>
      </c>
      <c r="E25" s="30">
        <f>E8*E12</f>
        <v>142.5</v>
      </c>
      <c r="F25" s="30">
        <f>F8*F12</f>
        <v>180</v>
      </c>
      <c r="G25" s="30">
        <f>G8*G12</f>
        <v>69.599999999999994</v>
      </c>
    </row>
    <row r="26" spans="2:7" x14ac:dyDescent="0.2">
      <c r="B26" s="4"/>
    </row>
    <row r="27" spans="2:7" x14ac:dyDescent="0.2">
      <c r="B27" s="4"/>
    </row>
    <row r="37" spans="1:8" ht="54" customHeight="1" x14ac:dyDescent="0.2">
      <c r="A37" s="60" t="s">
        <v>2202</v>
      </c>
    </row>
    <row r="38" spans="1:8" ht="15" customHeight="1" x14ac:dyDescent="0.2">
      <c r="B38" s="22" t="s">
        <v>2203</v>
      </c>
      <c r="C38" s="51">
        <f>INDEX('Country Engine'!$E$671:$E$675,MATCH(C$6,'Country Engine'!$A$671:$A$675,0))</f>
        <v>1448.0113538157748</v>
      </c>
      <c r="D38" s="51">
        <f>INDEX('Country Engine'!$E$671:$E$675,MATCH(D$6,'Country Engine'!$A$671:$A$675,0))</f>
        <v>-281.96076514693641</v>
      </c>
      <c r="E38" s="51">
        <f>INDEX('Country Engine'!$E$671:$E$675,MATCH(E$6,'Country Engine'!$A$671:$A$675,0))</f>
        <v>12.417255788229795</v>
      </c>
      <c r="F38" s="51">
        <f>INDEX('Country Engine'!$E$671:$E$675,MATCH(F$6,'Country Engine'!$A$671:$A$675,0))</f>
        <v>-460.96697688295785</v>
      </c>
      <c r="G38" s="51">
        <f>INDEX('Country Engine'!$E$671:$E$675,MATCH(G$6,'Country Engine'!$A$671:$A$675,0))</f>
        <v>1428.751357007483</v>
      </c>
    </row>
    <row r="39" spans="1:8" ht="15" customHeight="1" x14ac:dyDescent="0.2">
      <c r="B39" s="4" t="s">
        <v>63</v>
      </c>
      <c r="C39" s="31">
        <f>INDEX('Country Engine'!$F$671:$F$675,MATCH(C$6,'Country Engine'!$A$671:$A$675,0))</f>
        <v>0.59483429345729322</v>
      </c>
      <c r="D39" s="31">
        <f>INDEX('Country Engine'!$F$671:$F$675,MATCH(D$6,'Country Engine'!$A$671:$A$675,0))</f>
        <v>0.97870690953548811</v>
      </c>
      <c r="E39" s="31">
        <f>INDEX('Country Engine'!$F$671:$F$675,MATCH(E$6,'Country Engine'!$A$671:$A$675,0))</f>
        <v>0.87615746106345249</v>
      </c>
      <c r="F39" s="31" t="str">
        <f>INDEX('Country Engine'!$F$671:$F$675,MATCH(F$6,'Country Engine'!$A$671:$A$675,0))</f>
        <v>&gt;100% (never)</v>
      </c>
      <c r="G39" s="31">
        <f>INDEX('Country Engine'!$F$671:$F$675,MATCH(G$6,'Country Engine'!$A$671:$A$675,0))</f>
        <v>0.59907961870825854</v>
      </c>
    </row>
    <row r="40" spans="1:8" ht="15" customHeight="1" x14ac:dyDescent="0.2">
      <c r="B40" s="22" t="s">
        <v>2204</v>
      </c>
      <c r="C40" s="61">
        <f>RANK(C38,$C$38:$G$38,0)</f>
        <v>1</v>
      </c>
      <c r="D40" s="61">
        <f>RANK(D38,$C$38:$G$38,0)</f>
        <v>4</v>
      </c>
      <c r="E40" s="61">
        <f>RANK(E38,$C$38:$G$38,0)</f>
        <v>3</v>
      </c>
      <c r="F40" s="61">
        <f>RANK(F38,$C$38:$G$38,0)</f>
        <v>5</v>
      </c>
      <c r="G40" s="61">
        <f>RANK(G38,$C$38:$G$38,0)</f>
        <v>2</v>
      </c>
      <c r="H40" s="22" t="str">
        <f>IF(Assumptions!$B$4="Bear","◄ Ireland rank overstated — excludes CRU policy cost (see Limitations)","")</f>
        <v/>
      </c>
    </row>
    <row r="41" spans="1:8" ht="15" customHeight="1" x14ac:dyDescent="0.2">
      <c r="B41" s="4" t="s">
        <v>2205</v>
      </c>
      <c r="C41" s="28">
        <f>1+C38/C24</f>
        <v>1.3399087685013555</v>
      </c>
      <c r="D41" s="28">
        <f>1+D38/D24</f>
        <v>0.93412131655445407</v>
      </c>
      <c r="E41" s="28">
        <f>1+E38/E24</f>
        <v>1.0029080224328406</v>
      </c>
      <c r="F41" s="28">
        <f>1+F38/F24</f>
        <v>0.89279837746907953</v>
      </c>
      <c r="G41" s="28">
        <f>1+G38/G24</f>
        <v>1.3361767898841137</v>
      </c>
    </row>
    <row r="42" spans="1:8" ht="15" customHeight="1" x14ac:dyDescent="0.2">
      <c r="B42" s="12" t="s">
        <v>2206</v>
      </c>
      <c r="C42" s="42">
        <f>Assumptions!$P$50</f>
        <v>28</v>
      </c>
      <c r="D42" s="42">
        <f>Assumptions!$P$51</f>
        <v>384</v>
      </c>
      <c r="E42" s="42">
        <f>Assumptions!$P$52</f>
        <v>670</v>
      </c>
      <c r="F42" s="42">
        <f>Assumptions!$P$53</f>
        <v>290</v>
      </c>
      <c r="G42" s="42">
        <f>Assumptions!$P$54</f>
        <v>590</v>
      </c>
    </row>
    <row r="43" spans="1:8" ht="42" customHeight="1" x14ac:dyDescent="0.2">
      <c r="B43" s="20" t="s">
        <v>2207</v>
      </c>
      <c r="C43" s="4" t="s">
        <v>2208</v>
      </c>
      <c r="D43" s="4" t="s">
        <v>2208</v>
      </c>
      <c r="E43" s="4" t="s">
        <v>2208</v>
      </c>
      <c r="F43" s="4" t="s">
        <v>2208</v>
      </c>
      <c r="G43" s="4" t="s">
        <v>2208</v>
      </c>
    </row>
    <row r="44" spans="1:8" ht="30" customHeight="1" x14ac:dyDescent="0.2">
      <c r="B44" s="12" t="s">
        <v>2209</v>
      </c>
    </row>
    <row r="45" spans="1:8" ht="15" customHeight="1" x14ac:dyDescent="0.2">
      <c r="B45" s="12" t="s">
        <v>2210</v>
      </c>
    </row>
    <row r="46" spans="1:8" ht="15" customHeight="1" x14ac:dyDescent="0.2">
      <c r="B46" s="12" t="s">
        <v>2211</v>
      </c>
      <c r="C46" s="62">
        <f>Shadow_carbon_price</f>
        <v>190</v>
      </c>
    </row>
    <row r="47" spans="1:8" ht="15" customHeight="1" x14ac:dyDescent="0.2">
      <c r="B47" s="12" t="s">
        <v>2212</v>
      </c>
      <c r="C47" s="62">
        <f>IT_load_MW*C12*Hours_per_year*Paid_occupancy</f>
        <v>886511.99999999988</v>
      </c>
      <c r="D47" s="62">
        <f>IT_load_MW*D12*Hours_per_year*Paid_occupancy</f>
        <v>1002144</v>
      </c>
      <c r="E47" s="62">
        <f>IT_load_MW*E12*Hours_per_year*Paid_occupancy</f>
        <v>1156320</v>
      </c>
      <c r="F47" s="62">
        <f>IT_load_MW*F12*Hours_per_year*Paid_occupancy</f>
        <v>925056</v>
      </c>
      <c r="G47" s="62">
        <f>IT_load_MW*G12*Hours_per_year*Paid_occupancy</f>
        <v>1117776</v>
      </c>
    </row>
    <row r="48" spans="1:8" ht="15" customHeight="1" x14ac:dyDescent="0.2">
      <c r="B48" s="12" t="s">
        <v>2213</v>
      </c>
      <c r="C48" s="62">
        <f>C47*C42/1000</f>
        <v>24822.335999999996</v>
      </c>
      <c r="D48" s="62">
        <f>D47*D42/1000</f>
        <v>384823.29599999997</v>
      </c>
      <c r="E48" s="62">
        <f>E47*E42/1000</f>
        <v>774734.4</v>
      </c>
      <c r="F48" s="62">
        <f>F47*F42/1000</f>
        <v>268266.23999999999</v>
      </c>
      <c r="G48" s="62">
        <f>G47*G42/1000</f>
        <v>659487.84</v>
      </c>
    </row>
    <row r="49" spans="2:7" ht="15" customHeight="1" x14ac:dyDescent="0.2">
      <c r="B49" s="12" t="s">
        <v>2214</v>
      </c>
      <c r="C49" s="62">
        <f>C48*Shadow_carbon_price*'Price Floor'!C18/1000000</f>
        <v>16.462528919914607</v>
      </c>
      <c r="D49" s="62">
        <f>D48*Shadow_carbon_price*'Price Floor'!D18/1000000</f>
        <v>212.23904751009746</v>
      </c>
      <c r="E49" s="62">
        <f>E48*Shadow_carbon_price*'Price Floor'!E18/1000000</f>
        <v>450.10781857190523</v>
      </c>
      <c r="F49" s="62">
        <f>F48*Shadow_carbon_price*'Price Floor'!F18/1000000</f>
        <v>133.96503875225471</v>
      </c>
      <c r="G49" s="62">
        <f>G48*Shadow_carbon_price*'Price Floor'!G18/1000000</f>
        <v>429.10913634443898</v>
      </c>
    </row>
    <row r="50" spans="2:7" ht="15" customHeight="1" x14ac:dyDescent="0.2">
      <c r="B50" s="12" t="s">
        <v>2215</v>
      </c>
      <c r="C50" s="62">
        <f>C38-C49</f>
        <v>1431.5488248958602</v>
      </c>
      <c r="D50" s="62">
        <f>D38-D49</f>
        <v>-494.19981265703387</v>
      </c>
      <c r="E50" s="62">
        <f>E38-E49</f>
        <v>-437.69056278367543</v>
      </c>
      <c r="F50" s="62">
        <f>F38-F49</f>
        <v>-594.93201563521257</v>
      </c>
      <c r="G50" s="62">
        <f>G38-G49</f>
        <v>999.64222066304399</v>
      </c>
    </row>
    <row r="51" spans="2:7" ht="15" customHeight="1" x14ac:dyDescent="0.2">
      <c r="B51" s="12" t="s">
        <v>2216</v>
      </c>
      <c r="C51" s="62">
        <f>RANK(C50,$C$50:$G$50,0)</f>
        <v>1</v>
      </c>
      <c r="D51" s="62">
        <f>RANK(D50,$C$50:$G$50,0)</f>
        <v>4</v>
      </c>
      <c r="E51" s="62">
        <f>RANK(E50,$C$50:$G$50,0)</f>
        <v>3</v>
      </c>
      <c r="F51" s="62">
        <f>RANK(F50,$C$50:$G$50,0)</f>
        <v>5</v>
      </c>
      <c r="G51" s="62">
        <f>RANK(G50,$C$50:$G$50,0)</f>
        <v>2</v>
      </c>
    </row>
    <row r="52" spans="2:7" ht="66" customHeight="1" x14ac:dyDescent="0.2">
      <c r="B52" s="20" t="s">
        <v>2217</v>
      </c>
    </row>
  </sheetData>
  <sheetProtection sheet="1" objects="1" scenarios="1"/>
  <mergeCells count="1">
    <mergeCell ref="A6:B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548235"/>
  </sheetPr>
  <dimension ref="A1:O103"/>
  <sheetViews>
    <sheetView showGridLines="0" zoomScale="85" zoomScaleNormal="85" workbookViewId="0">
      <pane xSplit="2" ySplit="4" topLeftCell="C5" activePane="bottomRight" state="frozen"/>
      <selection activeCell="R16" sqref="R16"/>
      <selection pane="topRight" activeCell="R16" sqref="R16"/>
      <selection pane="bottomLeft" activeCell="R16" sqref="R16"/>
      <selection pane="bottomRight" activeCell="K13" sqref="K13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7" width="13" customWidth="1"/>
    <col min="8" max="15" width="12" customWidth="1"/>
  </cols>
  <sheetData>
    <row r="1" spans="1:5" ht="17.25" customHeight="1" x14ac:dyDescent="0.2">
      <c r="A1" s="1" t="s">
        <v>2218</v>
      </c>
      <c r="C1" s="2" t="str">
        <f>IF(Checks!$C$4&gt;0,"MODEL IN ERROR","checks OK")</f>
        <v>checks OK</v>
      </c>
    </row>
    <row r="2" spans="1:5" ht="15" customHeight="1" x14ac:dyDescent="0.2">
      <c r="A2" s="5" t="s">
        <v>2219</v>
      </c>
    </row>
    <row r="3" spans="1:5" ht="15" customHeight="1" x14ac:dyDescent="0.2">
      <c r="D3" s="4" t="s">
        <v>113</v>
      </c>
      <c r="E3" s="2" t="str">
        <f>IF(Checks!$C$4&gt;0,"MODEL IN ERROR","checks OK")</f>
        <v>checks OK</v>
      </c>
    </row>
    <row r="4" spans="1:5" ht="15" customHeight="1" x14ac:dyDescent="0.2">
      <c r="A4" s="7" t="s">
        <v>2220</v>
      </c>
    </row>
    <row r="5" spans="1:5" ht="15" customHeight="1" x14ac:dyDescent="0.2">
      <c r="B5" s="4" t="s">
        <v>2221</v>
      </c>
      <c r="C5" s="48">
        <f>Calculations!$C$9*MAX(Price_floor,Compute_P0*(1-Price_decline)^Assumptions!$G$23)/Compute_P0</f>
        <v>1687.3021440000002</v>
      </c>
    </row>
    <row r="6" spans="1:5" ht="15" customHeight="1" x14ac:dyDescent="0.2">
      <c r="B6" s="4" t="s">
        <v>2195</v>
      </c>
      <c r="C6" s="50">
        <f>Calculations!$C$10</f>
        <v>46.098623999999994</v>
      </c>
    </row>
    <row r="7" spans="1:5" ht="15" customHeight="1" x14ac:dyDescent="0.2">
      <c r="B7" s="4" t="s">
        <v>2222</v>
      </c>
      <c r="C7" s="50">
        <f>Calculations!$C$13</f>
        <v>86.47</v>
      </c>
    </row>
    <row r="8" spans="1:5" ht="15" customHeight="1" x14ac:dyDescent="0.2">
      <c r="B8" s="4" t="s">
        <v>2223</v>
      </c>
      <c r="C8" s="50">
        <f>Calculations!$C$16</f>
        <v>615.07000000000005</v>
      </c>
    </row>
    <row r="9" spans="1:5" ht="15" customHeight="1" x14ac:dyDescent="0.2">
      <c r="B9" s="4" t="s">
        <v>2143</v>
      </c>
      <c r="C9" s="59">
        <f>Assumptions!$G$26</f>
        <v>0.22</v>
      </c>
    </row>
    <row r="10" spans="1:5" ht="15" customHeight="1" x14ac:dyDescent="0.2">
      <c r="B10" s="4" t="s">
        <v>2224</v>
      </c>
      <c r="C10" s="28">
        <f>Calculations!$C$21^(Calculations!$C$20)*(1-Calculations!$C$21^GPU_life)/(1-Calculations!$C$21)</f>
        <v>3.9248504885887781</v>
      </c>
    </row>
    <row r="11" spans="1:5" ht="15" customHeight="1" x14ac:dyDescent="0.2">
      <c r="B11" s="4" t="s">
        <v>2225</v>
      </c>
      <c r="C11" s="48">
        <f>Calculations!$C$7*IF(Calculations!$C$20=0,1,(1-Calculations!$C$21^Calculations!$C$20)/(1-Calculations!$C$21)/Calculations!$C$20)+Calculations!$C$6*Calculations!$C$21^Calculations!$C$20</f>
        <v>3916.6027665810802</v>
      </c>
    </row>
    <row r="12" spans="1:5" ht="15" customHeight="1" x14ac:dyDescent="0.2">
      <c r="B12" s="4" t="s">
        <v>2226</v>
      </c>
      <c r="C12" s="48">
        <f>Calculations!$C$7*Assumptions!$F$38*Calculations!$C$21*(1-Calculations!$C$21^Calculations!$C$20)/(1-Calculations!$C$21)</f>
        <v>47.624521103968164</v>
      </c>
    </row>
    <row r="13" spans="1:5" ht="15" customHeight="1" x14ac:dyDescent="0.2">
      <c r="B13" s="4" t="s">
        <v>2227</v>
      </c>
      <c r="C13" s="48">
        <f>(Calculations!$C$7*Facility_salvage_pct+Calculations!$C$6*GPU_salvage_pct*(1-$C$9))*Calculations!$C$21^(Calculations!$C$20+GPU_life-1)</f>
        <v>677.40922512564555</v>
      </c>
    </row>
    <row r="14" spans="1:5" ht="15" customHeight="1" x14ac:dyDescent="0.2">
      <c r="B14" s="4" t="s">
        <v>2228</v>
      </c>
      <c r="C14" s="28">
        <f>MAX(Price_floor,Compute_P0*(1-Price_decline)^Assumptions!$G$23)*Assumptions!$G$15</f>
        <v>3.2102400000000011</v>
      </c>
    </row>
    <row r="15" spans="1:5" ht="15" customHeight="1" x14ac:dyDescent="0.2">
      <c r="B15" s="4" t="s">
        <v>2229</v>
      </c>
      <c r="C15" s="50">
        <f>INDEX('Country Engine'!$C$671:$C$675,MATCH(Assumptions!$B$5,'Country Engine'!$A$671:$A$675,0))</f>
        <v>1448.0113538157748</v>
      </c>
    </row>
    <row r="16" spans="1:5" ht="15" customHeight="1" x14ac:dyDescent="0.2">
      <c r="B16" s="4" t="s">
        <v>2230</v>
      </c>
      <c r="C16" s="48">
        <f>$C$5-$C$6-$C$7</f>
        <v>1554.7335200000002</v>
      </c>
    </row>
    <row r="17" spans="1:7" ht="15" customHeight="1" x14ac:dyDescent="0.2">
      <c r="A17" s="5" t="s">
        <v>2231</v>
      </c>
    </row>
    <row r="18" spans="1:7" ht="15" customHeight="1" x14ac:dyDescent="0.2">
      <c r="C18" s="69">
        <v>3</v>
      </c>
      <c r="D18" s="69">
        <v>4</v>
      </c>
      <c r="E18" s="69">
        <v>4.5</v>
      </c>
      <c r="F18" s="69">
        <v>5.5</v>
      </c>
      <c r="G18" s="69">
        <v>7</v>
      </c>
    </row>
    <row r="19" spans="1:7" ht="15" customHeight="1" x14ac:dyDescent="0.2">
      <c r="B19" s="32">
        <v>0.6</v>
      </c>
      <c r="C19" s="48">
        <f>$C$5*(C$18*$B19)/$C$14-$C$6*($B19/Assumptions!$G$15)-$C$7</f>
        <v>828.17911999999967</v>
      </c>
      <c r="D19" s="48">
        <f>$C$5*(D$18*$B19)/$C$14-$C$6*($B19/Assumptions!$G$15)-$C$7</f>
        <v>1143.5391199999999</v>
      </c>
      <c r="E19" s="48">
        <f>$C$5*(E$18*$B19)/$C$14-$C$6*($B19/Assumptions!$G$15)-$C$7</f>
        <v>1301.2191199999997</v>
      </c>
      <c r="F19" s="48">
        <f>$C$5*(F$18*$B19)/$C$14-$C$6*($B19/Assumptions!$G$15)-$C$7</f>
        <v>1616.5791199999996</v>
      </c>
      <c r="G19" s="48">
        <f>$C$5*(G$18*$B19)/$C$14-$C$6*($B19/Assumptions!$G$15)-$C$7</f>
        <v>2089.6191199999998</v>
      </c>
    </row>
    <row r="20" spans="1:7" ht="15" customHeight="1" x14ac:dyDescent="0.2">
      <c r="B20" s="32">
        <v>0.7</v>
      </c>
      <c r="C20" s="48">
        <f>$C$5*(C$18*$B20)/$C$14-$C$6*($B20/Assumptions!$G$15)-$C$7</f>
        <v>980.62063999999941</v>
      </c>
      <c r="D20" s="48">
        <f>$C$5*(D$18*$B20)/$C$14-$C$6*($B20/Assumptions!$G$15)-$C$7</f>
        <v>1348.5406399999995</v>
      </c>
      <c r="E20" s="48">
        <f>$C$5*(E$18*$B20)/$C$14-$C$6*($B20/Assumptions!$G$15)-$C$7</f>
        <v>1532.5006399999995</v>
      </c>
      <c r="F20" s="48">
        <f>$C$5*(F$18*$B20)/$C$14-$C$6*($B20/Assumptions!$G$15)-$C$7</f>
        <v>1900.4206399999991</v>
      </c>
      <c r="G20" s="48">
        <f>$C$5*(G$18*$B20)/$C$14-$C$6*($B20/Assumptions!$G$15)-$C$7</f>
        <v>2452.3006399999995</v>
      </c>
    </row>
    <row r="21" spans="1:7" ht="15" customHeight="1" x14ac:dyDescent="0.2">
      <c r="B21" s="32">
        <v>0.85</v>
      </c>
      <c r="C21" s="48">
        <f>$C$5*(C$18*$B21)/$C$14-$C$6*($B21/Assumptions!$G$15)-$C$7</f>
        <v>1209.2829199999996</v>
      </c>
      <c r="D21" s="48">
        <f>$C$5*(D$18*$B21)/$C$14-$C$6*($B21/Assumptions!$G$15)-$C$7</f>
        <v>1656.0429199999996</v>
      </c>
      <c r="E21" s="48">
        <f>$C$5*(E$18*$B21)/$C$14-$C$6*($B21/Assumptions!$G$15)-$C$7</f>
        <v>1879.4229199999993</v>
      </c>
      <c r="F21" s="48">
        <f>$C$5*(F$18*$B21)/$C$14-$C$6*($B21/Assumptions!$G$15)-$C$7</f>
        <v>2326.1829199999997</v>
      </c>
      <c r="G21" s="48">
        <f>$C$5*(G$18*$B21)/$C$14-$C$6*($B21/Assumptions!$G$15)-$C$7</f>
        <v>2996.3229200000001</v>
      </c>
    </row>
    <row r="22" spans="1:7" ht="15" customHeight="1" x14ac:dyDescent="0.2">
      <c r="B22" s="32">
        <v>0.9</v>
      </c>
      <c r="C22" s="48">
        <f>$C$5*(C$18*$B22)/$C$14-$C$6*($B22/Assumptions!$G$15)-$C$7</f>
        <v>1285.5036799999998</v>
      </c>
      <c r="D22" s="48">
        <f>$C$5*(D$18*$B22)/$C$14-$C$6*($B22/Assumptions!$G$15)-$C$7</f>
        <v>1758.5436799999995</v>
      </c>
      <c r="E22" s="48">
        <f>$C$5*(E$18*$B22)/$C$14-$C$6*($B22/Assumptions!$G$15)-$C$7</f>
        <v>1995.0636799999995</v>
      </c>
      <c r="F22" s="48">
        <f>$C$5*(F$18*$B22)/$C$14-$C$6*($B22/Assumptions!$G$15)-$C$7</f>
        <v>2468.1036799999997</v>
      </c>
      <c r="G22" s="48">
        <f>$C$5*(G$18*$B22)/$C$14-$C$6*($B22/Assumptions!$G$15)-$C$7</f>
        <v>3177.6636799999997</v>
      </c>
    </row>
    <row r="23" spans="1:7" ht="15" customHeight="1" x14ac:dyDescent="0.2">
      <c r="B23" s="32">
        <v>0.95</v>
      </c>
      <c r="C23" s="48">
        <f>$C$5*(C$18*$B23)/$C$14-$C$6*($B23/Assumptions!$G$15)-$C$7</f>
        <v>1361.7244399999995</v>
      </c>
      <c r="D23" s="48">
        <f>$C$5*(D$18*$B23)/$C$14-$C$6*($B23/Assumptions!$G$15)-$C$7</f>
        <v>1861.0444399999994</v>
      </c>
      <c r="E23" s="48">
        <f>$C$5*(E$18*$B23)/$C$14-$C$6*($B23/Assumptions!$G$15)-$C$7</f>
        <v>2110.7044399999995</v>
      </c>
      <c r="F23" s="48">
        <f>$C$5*(F$18*$B23)/$C$14-$C$6*($B23/Assumptions!$G$15)-$C$7</f>
        <v>2610.0244399999997</v>
      </c>
      <c r="G23" s="48">
        <f>$C$5*(G$18*$B23)/$C$14-$C$6*($B23/Assumptions!$G$15)-$C$7</f>
        <v>3359.0044399999992</v>
      </c>
    </row>
    <row r="25" spans="1:7" ht="15" customHeight="1" x14ac:dyDescent="0.2">
      <c r="A25" s="5" t="s">
        <v>2232</v>
      </c>
    </row>
    <row r="26" spans="1:7" ht="15" customHeight="1" x14ac:dyDescent="0.2">
      <c r="C26" s="69">
        <v>3</v>
      </c>
      <c r="D26" s="69">
        <v>4</v>
      </c>
      <c r="E26" s="69">
        <v>4.5</v>
      </c>
      <c r="F26" s="69">
        <v>5.5</v>
      </c>
      <c r="G26" s="69">
        <v>7</v>
      </c>
    </row>
    <row r="27" spans="1:7" ht="15" customHeight="1" x14ac:dyDescent="0.2">
      <c r="B27" s="32">
        <v>0.6</v>
      </c>
      <c r="C27" s="48">
        <f t="shared" ref="C27:G31" si="0">-$C$11-$C$12+(C19-$C$9*MAX(C19-$C$8,0))*$C$10+$C$13</f>
        <v>-220.35155421441925</v>
      </c>
      <c r="D27" s="48">
        <f t="shared" si="0"/>
        <v>745.08630884904039</v>
      </c>
      <c r="E27" s="48">
        <f t="shared" si="0"/>
        <v>1227.8052403807692</v>
      </c>
      <c r="F27" s="48">
        <f t="shared" si="0"/>
        <v>2193.2431034442275</v>
      </c>
      <c r="G27" s="48">
        <f t="shared" si="0"/>
        <v>3641.3998980394158</v>
      </c>
    </row>
    <row r="28" spans="1:7" ht="15" customHeight="1" x14ac:dyDescent="0.2">
      <c r="B28" s="32">
        <v>0.7</v>
      </c>
      <c r="C28" s="48">
        <f t="shared" si="0"/>
        <v>246.33038170308862</v>
      </c>
      <c r="D28" s="48">
        <f t="shared" si="0"/>
        <v>1372.674555277124</v>
      </c>
      <c r="E28" s="48">
        <f t="shared" si="0"/>
        <v>1935.8466420641412</v>
      </c>
      <c r="F28" s="48">
        <f t="shared" si="0"/>
        <v>3062.1908156381746</v>
      </c>
      <c r="G28" s="48">
        <f t="shared" si="0"/>
        <v>4751.7070759992284</v>
      </c>
    </row>
    <row r="29" spans="1:7" ht="15" customHeight="1" x14ac:dyDescent="0.2">
      <c r="B29" s="32">
        <v>0.85</v>
      </c>
      <c r="C29" s="48">
        <f t="shared" si="0"/>
        <v>946.35328557935225</v>
      </c>
      <c r="D29" s="48">
        <f t="shared" si="0"/>
        <v>2314.0569249192517</v>
      </c>
      <c r="E29" s="48">
        <f t="shared" si="0"/>
        <v>2997.9087445892005</v>
      </c>
      <c r="F29" s="48">
        <f t="shared" si="0"/>
        <v>4365.6123839291004</v>
      </c>
      <c r="G29" s="48">
        <f t="shared" si="0"/>
        <v>6417.1678429389522</v>
      </c>
    </row>
    <row r="30" spans="1:7" ht="15" customHeight="1" x14ac:dyDescent="0.2">
      <c r="B30" s="32">
        <v>0.9</v>
      </c>
      <c r="C30" s="48">
        <f t="shared" si="0"/>
        <v>1179.6942535381072</v>
      </c>
      <c r="D30" s="48">
        <f t="shared" si="0"/>
        <v>2627.8510481332937</v>
      </c>
      <c r="E30" s="48">
        <f t="shared" si="0"/>
        <v>3351.9294454308879</v>
      </c>
      <c r="F30" s="48">
        <f t="shared" si="0"/>
        <v>4800.0862400260748</v>
      </c>
      <c r="G30" s="48">
        <f t="shared" si="0"/>
        <v>6972.3214319188555</v>
      </c>
    </row>
    <row r="31" spans="1:7" ht="15" customHeight="1" x14ac:dyDescent="0.2">
      <c r="B31" s="32">
        <v>0.95</v>
      </c>
      <c r="C31" s="48">
        <f t="shared" si="0"/>
        <v>1413.0352214968602</v>
      </c>
      <c r="D31" s="48">
        <f t="shared" si="0"/>
        <v>2941.6451713473357</v>
      </c>
      <c r="E31" s="48">
        <f t="shared" si="0"/>
        <v>3705.9501462725743</v>
      </c>
      <c r="F31" s="48">
        <f t="shared" si="0"/>
        <v>5234.5600961230521</v>
      </c>
      <c r="G31" s="48">
        <f t="shared" si="0"/>
        <v>7527.4750208987643</v>
      </c>
    </row>
    <row r="33" spans="1:7" ht="15" customHeight="1" x14ac:dyDescent="0.2">
      <c r="A33" s="5" t="s">
        <v>2233</v>
      </c>
    </row>
    <row r="34" spans="1:7" ht="15" customHeight="1" x14ac:dyDescent="0.2">
      <c r="C34" s="21" t="s">
        <v>2234</v>
      </c>
      <c r="D34" s="21" t="s">
        <v>2235</v>
      </c>
      <c r="E34" s="21" t="s">
        <v>2236</v>
      </c>
      <c r="F34" s="21" t="s">
        <v>2237</v>
      </c>
      <c r="G34" s="21" t="s">
        <v>2238</v>
      </c>
    </row>
    <row r="35" spans="1:7" ht="15" customHeight="1" x14ac:dyDescent="0.2">
      <c r="B35" s="4" t="s">
        <v>2239</v>
      </c>
      <c r="C35" s="32">
        <v>0.65</v>
      </c>
      <c r="D35" s="32">
        <v>0.9</v>
      </c>
      <c r="E35" s="32">
        <v>0.9</v>
      </c>
      <c r="F35" s="32">
        <v>0.9</v>
      </c>
      <c r="G35" s="32">
        <v>0.9</v>
      </c>
    </row>
    <row r="36" spans="1:7" ht="15" customHeight="1" x14ac:dyDescent="0.2">
      <c r="B36" s="4" t="s">
        <v>2240</v>
      </c>
      <c r="C36" s="33">
        <f>AVERAGE(C35:G35)</f>
        <v>0.85</v>
      </c>
    </row>
    <row r="37" spans="1:7" ht="15" customHeight="1" x14ac:dyDescent="0.2">
      <c r="B37" s="5" t="s">
        <v>2241</v>
      </c>
    </row>
    <row r="39" spans="1:7" ht="15" customHeight="1" x14ac:dyDescent="0.2">
      <c r="A39" s="5" t="s">
        <v>2242</v>
      </c>
    </row>
    <row r="40" spans="1:7" ht="15" customHeight="1" x14ac:dyDescent="0.2">
      <c r="B40" s="4" t="s">
        <v>2243</v>
      </c>
      <c r="C40" s="28">
        <f>Assumptions!$G$14*Assumptions!$G$15</f>
        <v>5.016</v>
      </c>
    </row>
    <row r="41" spans="1:7" ht="15" customHeight="1" x14ac:dyDescent="0.2">
      <c r="B41" s="4" t="s">
        <v>2244</v>
      </c>
      <c r="C41" s="5" t="s">
        <v>2245</v>
      </c>
    </row>
    <row r="42" spans="1:7" ht="15" customHeight="1" x14ac:dyDescent="0.2">
      <c r="B42" s="4" t="s">
        <v>2246</v>
      </c>
      <c r="C42" s="5" t="s">
        <v>2247</v>
      </c>
    </row>
    <row r="43" spans="1:7" ht="15" customHeight="1" x14ac:dyDescent="0.2">
      <c r="B43" s="5" t="s">
        <v>2248</v>
      </c>
    </row>
    <row r="44" spans="1:7" ht="15" customHeight="1" x14ac:dyDescent="0.2">
      <c r="B44" s="4" t="s">
        <v>2249</v>
      </c>
      <c r="C44" s="51">
        <f>-$C$11-$C$12+($C$16-$C$9*MAX($C$16-$C$8,0))*$C$10+$C$13-($C$5-$C$6)*(1-$C$9)*Calculations!$C$21^(Calculations!$C$20)*((1-Ramp_yr1)+(1-Ramp_yr2)*Calculations!$C$21)</f>
        <v>1448.0113538157725</v>
      </c>
    </row>
    <row r="45" spans="1:7" ht="15" customHeight="1" x14ac:dyDescent="0.2">
      <c r="A45" s="7" t="s">
        <v>2250</v>
      </c>
    </row>
    <row r="46" spans="1:7" ht="15" customHeight="1" x14ac:dyDescent="0.2">
      <c r="B46" s="5" t="s">
        <v>2251</v>
      </c>
    </row>
    <row r="48" spans="1:7" ht="15" customHeight="1" x14ac:dyDescent="0.2">
      <c r="B48" s="4" t="s">
        <v>2252</v>
      </c>
      <c r="C48" s="9">
        <f>--(ABS(C44-$C$15)&gt;ErrorTolerance)</f>
        <v>0</v>
      </c>
      <c r="D48" s="5" t="s">
        <v>2253</v>
      </c>
      <c r="E48" s="9" t="str">
        <f>IF(C48&gt;0,"CHECK","ok")</f>
        <v>ok</v>
      </c>
    </row>
    <row r="50" spans="1:15" ht="15" customHeight="1" x14ac:dyDescent="0.2">
      <c r="B50" s="5" t="s">
        <v>2254</v>
      </c>
    </row>
    <row r="52" spans="1:15" ht="15" customHeight="1" x14ac:dyDescent="0.2">
      <c r="A52" s="7" t="s">
        <v>2255</v>
      </c>
    </row>
    <row r="53" spans="1:15" ht="15" customHeight="1" x14ac:dyDescent="0.2">
      <c r="A53" t="s">
        <v>2256</v>
      </c>
    </row>
    <row r="58" spans="1:15" ht="15" customHeight="1" x14ac:dyDescent="0.2">
      <c r="D58" s="52" t="s">
        <v>1923</v>
      </c>
      <c r="E58" s="52" t="s">
        <v>2257</v>
      </c>
      <c r="F58" s="52" t="s">
        <v>2258</v>
      </c>
      <c r="G58" s="52" t="s">
        <v>2259</v>
      </c>
      <c r="H58" s="52" t="s">
        <v>2260</v>
      </c>
      <c r="I58" s="52" t="s">
        <v>2261</v>
      </c>
      <c r="J58" s="52" t="s">
        <v>2262</v>
      </c>
      <c r="K58" s="52" t="s">
        <v>2263</v>
      </c>
      <c r="L58" s="52" t="s">
        <v>2264</v>
      </c>
      <c r="M58" s="52" t="s">
        <v>2265</v>
      </c>
      <c r="N58" s="52" t="s">
        <v>2266</v>
      </c>
      <c r="O58" s="52" t="s">
        <v>2267</v>
      </c>
    </row>
    <row r="59" spans="1:15" ht="15" customHeight="1" x14ac:dyDescent="0.2">
      <c r="B59" s="4" t="s">
        <v>2268</v>
      </c>
      <c r="D59" s="28">
        <f>Compute_P0</f>
        <v>5.7</v>
      </c>
      <c r="E59" s="29">
        <f>Assumptions!$D$14</f>
        <v>4</v>
      </c>
      <c r="F59" s="29">
        <f>Assumptions!$F$14</f>
        <v>9</v>
      </c>
      <c r="G59" s="28">
        <f t="shared" ref="G59:O59" si="1">Compute_P0</f>
        <v>5.7</v>
      </c>
      <c r="H59" s="28">
        <f t="shared" si="1"/>
        <v>5.7</v>
      </c>
      <c r="I59" s="28">
        <f t="shared" si="1"/>
        <v>5.7</v>
      </c>
      <c r="J59" s="28">
        <f t="shared" si="1"/>
        <v>5.7</v>
      </c>
      <c r="K59" s="28">
        <f t="shared" si="1"/>
        <v>5.7</v>
      </c>
      <c r="L59" s="28">
        <f t="shared" si="1"/>
        <v>5.7</v>
      </c>
      <c r="M59" s="28">
        <f t="shared" si="1"/>
        <v>5.7</v>
      </c>
      <c r="N59" s="28">
        <f t="shared" si="1"/>
        <v>5.7</v>
      </c>
      <c r="O59" s="28">
        <f t="shared" si="1"/>
        <v>5.7</v>
      </c>
    </row>
    <row r="60" spans="1:15" ht="15" customHeight="1" x14ac:dyDescent="0.2">
      <c r="B60" s="4" t="s">
        <v>2269</v>
      </c>
      <c r="D60" s="31">
        <f>Price_decline</f>
        <v>0.2</v>
      </c>
      <c r="E60" s="31">
        <f>Price_decline</f>
        <v>0.2</v>
      </c>
      <c r="F60" s="31">
        <f>Price_decline</f>
        <v>0.2</v>
      </c>
      <c r="G60" s="59">
        <f>Assumptions!$D$65</f>
        <v>0.3</v>
      </c>
      <c r="H60" s="59">
        <f>Assumptions!$F$65</f>
        <v>0.15</v>
      </c>
      <c r="I60" s="31">
        <f t="shared" ref="I60:O60" si="2">Price_decline</f>
        <v>0.2</v>
      </c>
      <c r="J60" s="31">
        <f t="shared" si="2"/>
        <v>0.2</v>
      </c>
      <c r="K60" s="31">
        <f t="shared" si="2"/>
        <v>0.2</v>
      </c>
      <c r="L60" s="31">
        <f t="shared" si="2"/>
        <v>0.2</v>
      </c>
      <c r="M60" s="31">
        <f t="shared" si="2"/>
        <v>0.2</v>
      </c>
      <c r="N60" s="31">
        <f t="shared" si="2"/>
        <v>0.2</v>
      </c>
      <c r="O60" s="31">
        <f t="shared" si="2"/>
        <v>0.2</v>
      </c>
    </row>
    <row r="61" spans="1:15" ht="15" customHeight="1" x14ac:dyDescent="0.2">
      <c r="B61" s="4" t="s">
        <v>2270</v>
      </c>
      <c r="D61" s="28" t="s">
        <v>157</v>
      </c>
      <c r="E61" s="28" t="s">
        <v>157</v>
      </c>
      <c r="F61" s="28" t="s">
        <v>157</v>
      </c>
      <c r="G61" s="28" t="s">
        <v>157</v>
      </c>
      <c r="H61" s="28" t="s">
        <v>157</v>
      </c>
      <c r="I61" s="28">
        <f>500/Assumptions!$G$12</f>
        <v>0.83333333333333337</v>
      </c>
      <c r="J61" s="28" t="s">
        <v>157</v>
      </c>
      <c r="K61" s="28" t="s">
        <v>157</v>
      </c>
      <c r="L61" s="28" t="s">
        <v>157</v>
      </c>
      <c r="M61" s="28" t="s">
        <v>157</v>
      </c>
      <c r="N61" s="28" t="s">
        <v>157</v>
      </c>
      <c r="O61" s="28" t="s">
        <v>157</v>
      </c>
    </row>
    <row r="62" spans="1:15" ht="15" customHeight="1" x14ac:dyDescent="0.2">
      <c r="B62" s="4" t="s">
        <v>2271</v>
      </c>
      <c r="D62" s="28" t="s">
        <v>157</v>
      </c>
      <c r="E62" s="28" t="s">
        <v>157</v>
      </c>
      <c r="F62" s="28" t="s">
        <v>157</v>
      </c>
      <c r="G62" s="28" t="s">
        <v>157</v>
      </c>
      <c r="H62" s="28" t="s">
        <v>157</v>
      </c>
      <c r="I62" s="28" t="s">
        <v>157</v>
      </c>
      <c r="J62" s="28">
        <f>Assumptions!$D$11/Assumptions!$G$11</f>
        <v>1.1904761904761905</v>
      </c>
      <c r="K62" s="28">
        <f>Assumptions!$F$11/Assumptions!$G$11</f>
        <v>0.83333333333333337</v>
      </c>
      <c r="L62" s="28" t="s">
        <v>157</v>
      </c>
      <c r="M62" s="28" t="s">
        <v>157</v>
      </c>
      <c r="N62" s="28" t="s">
        <v>157</v>
      </c>
      <c r="O62" s="28" t="s">
        <v>157</v>
      </c>
    </row>
    <row r="63" spans="1:15" ht="15" customHeight="1" x14ac:dyDescent="0.2">
      <c r="B63" s="4" t="s">
        <v>2272</v>
      </c>
      <c r="D63" s="28">
        <f t="shared" ref="D63:K63" si="3">Facility_salvage_pct</f>
        <v>0.45</v>
      </c>
      <c r="E63" s="28">
        <f t="shared" si="3"/>
        <v>0.45</v>
      </c>
      <c r="F63" s="28">
        <f t="shared" si="3"/>
        <v>0.45</v>
      </c>
      <c r="G63" s="28">
        <f t="shared" si="3"/>
        <v>0.45</v>
      </c>
      <c r="H63" s="28">
        <f t="shared" si="3"/>
        <v>0.45</v>
      </c>
      <c r="I63" s="28">
        <f t="shared" si="3"/>
        <v>0.45</v>
      </c>
      <c r="J63" s="28">
        <f t="shared" si="3"/>
        <v>0.45</v>
      </c>
      <c r="K63" s="28">
        <f t="shared" si="3"/>
        <v>0.45</v>
      </c>
      <c r="L63" s="29">
        <f>Assumptions!$D$18</f>
        <v>0.4</v>
      </c>
      <c r="M63" s="29">
        <f>Assumptions!$F$18</f>
        <v>0.55000000000000004</v>
      </c>
      <c r="N63" s="28">
        <f>Facility_salvage_pct</f>
        <v>0.45</v>
      </c>
      <c r="O63" s="28">
        <f>Facility_salvage_pct</f>
        <v>0.45</v>
      </c>
    </row>
    <row r="64" spans="1:15" ht="15" customHeight="1" x14ac:dyDescent="0.2">
      <c r="B64" s="4" t="s">
        <v>2273</v>
      </c>
      <c r="D64" s="28" t="s">
        <v>157</v>
      </c>
      <c r="E64" s="28" t="s">
        <v>157</v>
      </c>
      <c r="F64" s="28" t="s">
        <v>157</v>
      </c>
      <c r="G64" s="28" t="s">
        <v>157</v>
      </c>
      <c r="H64" s="28" t="s">
        <v>157</v>
      </c>
      <c r="I64" s="28" t="s">
        <v>157</v>
      </c>
      <c r="J64" s="28" t="s">
        <v>157</v>
      </c>
      <c r="K64" s="28" t="s">
        <v>157</v>
      </c>
      <c r="L64" s="28" t="s">
        <v>157</v>
      </c>
      <c r="M64" s="28" t="s">
        <v>157</v>
      </c>
      <c r="N64" s="28">
        <f>Assumptions!$D$22/Assumptions!$G$22</f>
        <v>1.5384615384615385</v>
      </c>
      <c r="O64" s="28">
        <f>Assumptions!$F$22/Assumptions!$G$22</f>
        <v>0.57692307692307687</v>
      </c>
    </row>
    <row r="65" spans="1:15" ht="15" customHeight="1" x14ac:dyDescent="0.2">
      <c r="B65" s="4" t="s">
        <v>2274</v>
      </c>
      <c r="D65" s="28">
        <f>MAX(Price_floor,D59*(1-D60)^Assumptions!$G$23)</f>
        <v>3.648000000000001</v>
      </c>
      <c r="E65" s="28">
        <f>MAX(Price_floor,E59*(1-E60)^Assumptions!$G$23)</f>
        <v>2.5600000000000005</v>
      </c>
      <c r="F65" s="28">
        <f>MAX(Price_floor,F59*(1-F60)^Assumptions!$G$23)</f>
        <v>5.7600000000000016</v>
      </c>
      <c r="G65" s="28">
        <f>MAX(Price_floor,G59*(1-G60)^Assumptions!$G$23)</f>
        <v>2.7929999999999997</v>
      </c>
      <c r="H65" s="28">
        <f>MAX(Price_floor,H59*(1-H60)^Assumptions!$G$23)</f>
        <v>4.1182499999999997</v>
      </c>
      <c r="I65" s="28">
        <f>MAX(Price_floor,I59*(1-I60)^Assumptions!$G$23)</f>
        <v>3.648000000000001</v>
      </c>
      <c r="J65" s="28">
        <f>MAX(Price_floor,J59*(1-J60)^Assumptions!$G$23)</f>
        <v>3.648000000000001</v>
      </c>
      <c r="K65" s="28">
        <f>MAX(Price_floor,K59*(1-K60)^Assumptions!$G$23)</f>
        <v>3.648000000000001</v>
      </c>
      <c r="L65" s="28">
        <f>MAX(Price_floor,L59*(1-L60)^Assumptions!$G$23)</f>
        <v>3.648000000000001</v>
      </c>
      <c r="M65" s="28">
        <f>MAX(Price_floor,M59*(1-M60)^Assumptions!$G$23)</f>
        <v>3.648000000000001</v>
      </c>
      <c r="N65" s="28">
        <f>MAX(Price_floor,N59*(1-N60)^Assumptions!$G$23)</f>
        <v>3.648000000000001</v>
      </c>
      <c r="O65" s="28">
        <f>MAX(Price_floor,O59*(1-O60)^Assumptions!$G$23)</f>
        <v>3.648000000000001</v>
      </c>
    </row>
    <row r="66" spans="1:15" ht="15" customHeight="1" x14ac:dyDescent="0.2">
      <c r="B66" s="4" t="s">
        <v>2275</v>
      </c>
      <c r="D66" s="48">
        <f>Calculations!$C$9*D61*D65/Compute_P0</f>
        <v>1687.3021440000002</v>
      </c>
      <c r="E66" s="48">
        <f>Calculations!$C$9*E61*E65/Compute_P0</f>
        <v>1184.07168</v>
      </c>
      <c r="F66" s="48">
        <f>Calculations!$C$9*F61*F65/Compute_P0</f>
        <v>2664.1612800000007</v>
      </c>
      <c r="G66" s="48">
        <f>Calculations!$C$9*G61*G65/Compute_P0</f>
        <v>1291.840704</v>
      </c>
      <c r="H66" s="48">
        <f>Calculations!$C$9*H61*H65/Compute_P0</f>
        <v>1904.8059359999997</v>
      </c>
      <c r="I66" s="48">
        <f>Calculations!$C$9*I61*I65/Compute_P0</f>
        <v>1406.0851200000006</v>
      </c>
      <c r="J66" s="48">
        <f>Calculations!$C$9*J61*J65/Compute_P0</f>
        <v>1687.3021440000002</v>
      </c>
      <c r="K66" s="48">
        <f>Calculations!$C$9*K61*K65/Compute_P0</f>
        <v>1687.3021440000002</v>
      </c>
      <c r="L66" s="48">
        <f>Calculations!$C$9*L61*L65/Compute_P0</f>
        <v>1687.3021440000002</v>
      </c>
      <c r="M66" s="48">
        <f>Calculations!$C$9*M61*M65/Compute_P0</f>
        <v>1687.3021440000002</v>
      </c>
      <c r="N66" s="48">
        <f>Calculations!$C$9*N61*N65/Compute_P0</f>
        <v>1687.3021440000002</v>
      </c>
      <c r="O66" s="48">
        <f>Calculations!$C$9*O61*O65/Compute_P0</f>
        <v>1687.3021440000002</v>
      </c>
    </row>
    <row r="67" spans="1:15" ht="15" customHeight="1" x14ac:dyDescent="0.2">
      <c r="B67" s="4" t="s">
        <v>5</v>
      </c>
      <c r="D67" s="48">
        <f>Calculations!$C$6*D61*D62</f>
        <v>2520</v>
      </c>
      <c r="E67" s="48">
        <f>Calculations!$C$6*E61*E62</f>
        <v>2520</v>
      </c>
      <c r="F67" s="48">
        <f>Calculations!$C$6*F61*F62</f>
        <v>2520</v>
      </c>
      <c r="G67" s="48">
        <f>Calculations!$C$6*G61*G62</f>
        <v>2520</v>
      </c>
      <c r="H67" s="48">
        <f>Calculations!$C$6*H61*H62</f>
        <v>2520</v>
      </c>
      <c r="I67" s="48">
        <f>Calculations!$C$6*I61*I62</f>
        <v>2100</v>
      </c>
      <c r="J67" s="48">
        <f>Calculations!$C$6*J61*J62</f>
        <v>3000</v>
      </c>
      <c r="K67" s="48">
        <f>Calculations!$C$6*K61*K62</f>
        <v>2100</v>
      </c>
      <c r="L67" s="48">
        <f>Calculations!$C$6*L61*L62</f>
        <v>2520</v>
      </c>
      <c r="M67" s="48">
        <f>Calculations!$C$6*M61*M62</f>
        <v>2520</v>
      </c>
      <c r="N67" s="48">
        <f>Calculations!$C$6*N61*N62</f>
        <v>2520</v>
      </c>
      <c r="O67" s="48">
        <f>Calculations!$C$6*O61*O62</f>
        <v>2520</v>
      </c>
    </row>
    <row r="68" spans="1:15" ht="15" customHeight="1" x14ac:dyDescent="0.2">
      <c r="B68" s="4" t="s">
        <v>40</v>
      </c>
      <c r="D68" s="48">
        <f>Calculations!$C$10*D64</f>
        <v>46.098623999999994</v>
      </c>
      <c r="E68" s="48">
        <f>Calculations!$C$10*E64</f>
        <v>46.098623999999994</v>
      </c>
      <c r="F68" s="48">
        <f>Calculations!$C$10*F64</f>
        <v>46.098623999999994</v>
      </c>
      <c r="G68" s="48">
        <f>Calculations!$C$10*G64</f>
        <v>46.098623999999994</v>
      </c>
      <c r="H68" s="48">
        <f>Calculations!$C$10*H64</f>
        <v>46.098623999999994</v>
      </c>
      <c r="I68" s="48">
        <f>Calculations!$C$10*I64</f>
        <v>46.098623999999994</v>
      </c>
      <c r="J68" s="48">
        <f>Calculations!$C$10*J64</f>
        <v>46.098623999999994</v>
      </c>
      <c r="K68" s="48">
        <f>Calculations!$C$10*K64</f>
        <v>46.098623999999994</v>
      </c>
      <c r="L68" s="48">
        <f>Calculations!$C$10*L64</f>
        <v>46.098623999999994</v>
      </c>
      <c r="M68" s="48">
        <f>Calculations!$C$10*M64</f>
        <v>46.098623999999994</v>
      </c>
      <c r="N68" s="48">
        <f>Calculations!$C$10*N64</f>
        <v>70.920959999999994</v>
      </c>
      <c r="O68" s="48">
        <f>Calculations!$C$10*O64</f>
        <v>26.595359999999992</v>
      </c>
    </row>
    <row r="69" spans="1:15" ht="15" customHeight="1" x14ac:dyDescent="0.2">
      <c r="B69" s="4" t="s">
        <v>2276</v>
      </c>
      <c r="D69" s="48">
        <f>D67/GPU_life+Calculations!$C$7*Calculations!$C$15</f>
        <v>615.07000000000005</v>
      </c>
      <c r="E69" s="48">
        <f>E67/GPU_life+Calculations!$C$7*Calculations!$C$15</f>
        <v>615.07000000000005</v>
      </c>
      <c r="F69" s="48">
        <f>F67/GPU_life+Calculations!$C$7*Calculations!$C$15</f>
        <v>615.07000000000005</v>
      </c>
      <c r="G69" s="48">
        <f>G67/GPU_life+Calculations!$C$7*Calculations!$C$15</f>
        <v>615.07000000000005</v>
      </c>
      <c r="H69" s="48">
        <f>H67/GPU_life+Calculations!$C$7*Calculations!$C$15</f>
        <v>615.07000000000005</v>
      </c>
      <c r="I69" s="48">
        <f>I67/GPU_life+Calculations!$C$7*Calculations!$C$15</f>
        <v>531.07000000000005</v>
      </c>
      <c r="J69" s="48">
        <f>J67/GPU_life+Calculations!$C$7*Calculations!$C$15</f>
        <v>711.07</v>
      </c>
      <c r="K69" s="48">
        <f>K67/GPU_life+Calculations!$C$7*Calculations!$C$15</f>
        <v>531.07000000000005</v>
      </c>
      <c r="L69" s="48">
        <f>L67/GPU_life+Calculations!$C$7*Calculations!$C$15</f>
        <v>615.07000000000005</v>
      </c>
      <c r="M69" s="48">
        <f>M67/GPU_life+Calculations!$C$7*Calculations!$C$15</f>
        <v>615.07000000000005</v>
      </c>
      <c r="N69" s="48">
        <f>N67/GPU_life+Calculations!$C$7*Calculations!$C$15</f>
        <v>615.07000000000005</v>
      </c>
      <c r="O69" s="48">
        <f>O67/GPU_life+Calculations!$C$7*Calculations!$C$15</f>
        <v>615.07000000000005</v>
      </c>
    </row>
    <row r="70" spans="1:15" ht="15" customHeight="1" x14ac:dyDescent="0.2">
      <c r="B70" s="4" t="s">
        <v>42</v>
      </c>
      <c r="D70" s="48">
        <f>D66-D68-Calculations!$C$13</f>
        <v>1554.7335200000002</v>
      </c>
      <c r="E70" s="48">
        <f>E66-E68-Calculations!$C$13</f>
        <v>1051.503056</v>
      </c>
      <c r="F70" s="48">
        <f>F66-F68-Calculations!$C$13</f>
        <v>2531.5926560000007</v>
      </c>
      <c r="G70" s="48">
        <f>G66-G68-Calculations!$C$13</f>
        <v>1159.27208</v>
      </c>
      <c r="H70" s="48">
        <f>H66-H68-Calculations!$C$13</f>
        <v>1772.2373119999997</v>
      </c>
      <c r="I70" s="48">
        <f>I66-I68-Calculations!$C$13</f>
        <v>1273.5164960000006</v>
      </c>
      <c r="J70" s="48">
        <f>J66-J68-Calculations!$C$13</f>
        <v>1554.7335200000002</v>
      </c>
      <c r="K70" s="48">
        <f>K66-K68-Calculations!$C$13</f>
        <v>1554.7335200000002</v>
      </c>
      <c r="L70" s="48">
        <f>L66-L68-Calculations!$C$13</f>
        <v>1554.7335200000002</v>
      </c>
      <c r="M70" s="48">
        <f>M66-M68-Calculations!$C$13</f>
        <v>1554.7335200000002</v>
      </c>
      <c r="N70" s="48">
        <f>N66-N68-Calculations!$C$13</f>
        <v>1529.9111840000003</v>
      </c>
      <c r="O70" s="48">
        <f>O66-O68-Calculations!$C$13</f>
        <v>1574.2367840000002</v>
      </c>
    </row>
    <row r="71" spans="1:15" ht="15" customHeight="1" x14ac:dyDescent="0.2">
      <c r="B71" s="4" t="s">
        <v>2277</v>
      </c>
      <c r="D71" s="48">
        <f t="shared" ref="D71:O71" si="4">D70-$C$9*MAX(D70-D69,0)</f>
        <v>1348.0075456000002</v>
      </c>
      <c r="E71" s="48">
        <f t="shared" si="4"/>
        <v>955.48778368000001</v>
      </c>
      <c r="F71" s="48">
        <f t="shared" si="4"/>
        <v>2109.9576716800007</v>
      </c>
      <c r="G71" s="48">
        <f t="shared" si="4"/>
        <v>1039.5476223999999</v>
      </c>
      <c r="H71" s="48">
        <f t="shared" si="4"/>
        <v>1517.6605033599999</v>
      </c>
      <c r="I71" s="48">
        <f t="shared" si="4"/>
        <v>1110.1782668800006</v>
      </c>
      <c r="J71" s="48">
        <f t="shared" si="4"/>
        <v>1369.1275456000003</v>
      </c>
      <c r="K71" s="48">
        <f t="shared" si="4"/>
        <v>1329.5275456000002</v>
      </c>
      <c r="L71" s="48">
        <f t="shared" si="4"/>
        <v>1348.0075456000002</v>
      </c>
      <c r="M71" s="48">
        <f t="shared" si="4"/>
        <v>1348.0075456000002</v>
      </c>
      <c r="N71" s="48">
        <f t="shared" si="4"/>
        <v>1328.6461235200002</v>
      </c>
      <c r="O71" s="48">
        <f t="shared" si="4"/>
        <v>1363.2200915200001</v>
      </c>
    </row>
    <row r="72" spans="1:15" ht="15" customHeight="1" x14ac:dyDescent="0.2">
      <c r="B72" s="4" t="s">
        <v>2278</v>
      </c>
      <c r="D72" s="48">
        <f>Calculations!$C$7*IF(Calculations!$C$20=0,1,(1-Calculations!$C$21^Calculations!$C$20)/(1-Calculations!$C$21)/Calculations!$C$20)+D67*Calculations!$C$21^Calculations!$C$20</f>
        <v>3916.6027665810802</v>
      </c>
      <c r="E72" s="48">
        <f>Calculations!$C$7*IF(Calculations!$C$20=0,1,(1-Calculations!$C$21^Calculations!$C$20)/(1-Calculations!$C$21)/Calculations!$C$20)+E67*Calculations!$C$21^Calculations!$C$20</f>
        <v>3916.6027665810802</v>
      </c>
      <c r="F72" s="48">
        <f>Calculations!$C$7*IF(Calculations!$C$20=0,1,(1-Calculations!$C$21^Calculations!$C$20)/(1-Calculations!$C$21)/Calculations!$C$20)+F67*Calculations!$C$21^Calculations!$C$20</f>
        <v>3916.6027665810802</v>
      </c>
      <c r="G72" s="48">
        <f>Calculations!$C$7*IF(Calculations!$C$20=0,1,(1-Calculations!$C$21^Calculations!$C$20)/(1-Calculations!$C$21)/Calculations!$C$20)+G67*Calculations!$C$21^Calculations!$C$20</f>
        <v>3916.6027665810802</v>
      </c>
      <c r="H72" s="48">
        <f>Calculations!$C$7*IF(Calculations!$C$20=0,1,(1-Calculations!$C$21^Calculations!$C$20)/(1-Calculations!$C$21)/Calculations!$C$20)+H67*Calculations!$C$21^Calculations!$C$20</f>
        <v>3916.6027665810802</v>
      </c>
      <c r="I72" s="48">
        <f>Calculations!$C$7*IF(Calculations!$C$20=0,1,(1-Calculations!$C$21^Calculations!$C$20)/(1-Calculations!$C$21)/Calculations!$C$20)+I67*Calculations!$C$21^Calculations!$C$20</f>
        <v>3545.1907262728992</v>
      </c>
      <c r="J72" s="48">
        <f>Calculations!$C$7*IF(Calculations!$C$20=0,1,(1-Calculations!$C$21^Calculations!$C$20)/(1-Calculations!$C$21)/Calculations!$C$20)+J67*Calculations!$C$21^Calculations!$C$20</f>
        <v>4341.0736697904304</v>
      </c>
      <c r="K72" s="48">
        <f>Calculations!$C$7*IF(Calculations!$C$20=0,1,(1-Calculations!$C$21^Calculations!$C$20)/(1-Calculations!$C$21)/Calculations!$C$20)+K67*Calculations!$C$21^Calculations!$C$20</f>
        <v>3545.1907262728992</v>
      </c>
      <c r="L72" s="48">
        <f>Calculations!$C$7*IF(Calculations!$C$20=0,1,(1-Calculations!$C$21^Calculations!$C$20)/(1-Calculations!$C$21)/Calculations!$C$20)+L67*Calculations!$C$21^Calculations!$C$20</f>
        <v>3916.6027665810802</v>
      </c>
      <c r="M72" s="48">
        <f>Calculations!$C$7*IF(Calculations!$C$20=0,1,(1-Calculations!$C$21^Calculations!$C$20)/(1-Calculations!$C$21)/Calculations!$C$20)+M67*Calculations!$C$21^Calculations!$C$20</f>
        <v>3916.6027665810802</v>
      </c>
      <c r="N72" s="48">
        <f>Calculations!$C$7*IF(Calculations!$C$20=0,1,(1-Calculations!$C$21^Calculations!$C$20)/(1-Calculations!$C$21)/Calculations!$C$20)+N67*Calculations!$C$21^Calculations!$C$20</f>
        <v>3916.6027665810802</v>
      </c>
      <c r="O72" s="48">
        <f>Calculations!$C$7*IF(Calculations!$C$20=0,1,(1-Calculations!$C$21^Calculations!$C$20)/(1-Calculations!$C$21)/Calculations!$C$20)+O67*Calculations!$C$21^Calculations!$C$20</f>
        <v>3916.6027665810802</v>
      </c>
    </row>
    <row r="73" spans="1:15" ht="15" customHeight="1" x14ac:dyDescent="0.2">
      <c r="B73" s="4" t="s">
        <v>2279</v>
      </c>
      <c r="D73" s="48">
        <f>(Calculations!$C$7*D63+D67*GPU_salvage_pct*(1-$C$9))*Calculations!$C$21^(Calculations!$C$20+GPU_life-1)</f>
        <v>677.40922512564555</v>
      </c>
      <c r="E73" s="48">
        <f>(Calculations!$C$7*E63+E67*GPU_salvage_pct*(1-$C$9))*Calculations!$C$21^(Calculations!$C$20+GPU_life-1)</f>
        <v>677.40922512564555</v>
      </c>
      <c r="F73" s="48">
        <f>(Calculations!$C$7*F63+F67*GPU_salvage_pct*(1-$C$9))*Calculations!$C$21^(Calculations!$C$20+GPU_life-1)</f>
        <v>677.40922512564555</v>
      </c>
      <c r="G73" s="48">
        <f>(Calculations!$C$7*G63+G67*GPU_salvage_pct*(1-$C$9))*Calculations!$C$21^(Calculations!$C$20+GPU_life-1)</f>
        <v>677.40922512564555</v>
      </c>
      <c r="H73" s="48">
        <f>(Calculations!$C$7*H63+H67*GPU_salvage_pct*(1-$C$9))*Calculations!$C$21^(Calculations!$C$20+GPU_life-1)</f>
        <v>677.40922512564555</v>
      </c>
      <c r="I73" s="48">
        <f>(Calculations!$C$7*I63+I67*GPU_salvage_pct*(1-$C$9))*Calculations!$C$21^(Calculations!$C$20+GPU_life-1)</f>
        <v>654.75423082706641</v>
      </c>
      <c r="J73" s="48">
        <f>(Calculations!$C$7*J63+J67*GPU_salvage_pct*(1-$C$9))*Calculations!$C$21^(Calculations!$C$20+GPU_life-1)</f>
        <v>703.30064718116455</v>
      </c>
      <c r="K73" s="48">
        <f>(Calculations!$C$7*K63+K67*GPU_salvage_pct*(1-$C$9))*Calculations!$C$21^(Calculations!$C$20+GPU_life-1)</f>
        <v>654.75423082706641</v>
      </c>
      <c r="L73" s="48">
        <f>(Calculations!$C$7*L63+L67*GPU_salvage_pct*(1-$C$9))*Calculations!$C$21^(Calculations!$C$20+GPU_life-1)</f>
        <v>617.2448629774043</v>
      </c>
      <c r="M73" s="48">
        <f>(Calculations!$C$7*M63+M67*GPU_salvage_pct*(1-$C$9))*Calculations!$C$21^(Calculations!$C$20+GPU_life-1)</f>
        <v>797.73794942212817</v>
      </c>
      <c r="N73" s="48">
        <f>(Calculations!$C$7*N63+N67*GPU_salvage_pct*(1-$C$9))*Calculations!$C$21^(Calculations!$C$20+GPU_life-1)</f>
        <v>677.40922512564555</v>
      </c>
      <c r="O73" s="48">
        <f>(Calculations!$C$7*O63+O67*GPU_salvage_pct*(1-$C$9))*Calculations!$C$21^(Calculations!$C$20+GPU_life-1)</f>
        <v>677.40922512564555</v>
      </c>
    </row>
    <row r="74" spans="1:15" ht="15" customHeight="1" x14ac:dyDescent="0.2">
      <c r="B74" s="4" t="s">
        <v>2280</v>
      </c>
      <c r="D74" s="48">
        <f>(D66-D68)*(1-$C$9)*Calculations!$C$21^(Calculations!$C$20)*((1-Ramp_yr1)+(1-Ramp_yr2)*Calculations!$C$21)</f>
        <v>555.89865759434531</v>
      </c>
      <c r="E74" s="48">
        <f>(E66-E68)*(1-$C$9)*Calculations!$C$21^(Calculations!$C$20)*((1-Ramp_yr1)+(1-Ramp_yr2)*Calculations!$C$21)</f>
        <v>385.44743933338299</v>
      </c>
      <c r="F74" s="48">
        <f>(F66-F68)*(1-$C$9)*Calculations!$C$21^(Calculations!$C$20)*((1-Ramp_yr1)+(1-Ramp_yr2)*Calculations!$C$21)</f>
        <v>886.77455186562486</v>
      </c>
      <c r="G74" s="48">
        <f>(G66-G68)*(1-$C$9)*Calculations!$C$21^(Calculations!$C$20)*((1-Ramp_yr1)+(1-Ramp_yr2)*Calculations!$C$21)</f>
        <v>421.95031971463686</v>
      </c>
      <c r="H74" s="48">
        <f>(H66-H68)*(1-$C$9)*Calculations!$C$21^(Calculations!$C$20)*((1-Ramp_yr1)+(1-Ramp_yr2)*Calculations!$C$21)</f>
        <v>629.57024342818477</v>
      </c>
      <c r="I74" s="48">
        <f>(I66-I68)*(1-$C$9)*Calculations!$C$21^(Calculations!$C$20)*((1-Ramp_yr1)+(1-Ramp_yr2)*Calculations!$C$21)</f>
        <v>460.64650621321948</v>
      </c>
      <c r="J74" s="48">
        <f>(J66-J68)*(1-$C$9)*Calculations!$C$21^(Calculations!$C$20)*((1-Ramp_yr1)+(1-Ramp_yr2)*Calculations!$C$21)</f>
        <v>555.89865759434531</v>
      </c>
      <c r="K74" s="48">
        <f>(K66-K68)*(1-$C$9)*Calculations!$C$21^(Calculations!$C$20)*((1-Ramp_yr1)+(1-Ramp_yr2)*Calculations!$C$21)</f>
        <v>555.89865759434531</v>
      </c>
      <c r="L74" s="48">
        <f>(L66-L68)*(1-$C$9)*Calculations!$C$21^(Calculations!$C$20)*((1-Ramp_yr1)+(1-Ramp_yr2)*Calculations!$C$21)</f>
        <v>555.89865759434531</v>
      </c>
      <c r="M74" s="48">
        <f>(M66-M68)*(1-$C$9)*Calculations!$C$21^(Calculations!$C$20)*((1-Ramp_yr1)+(1-Ramp_yr2)*Calculations!$C$21)</f>
        <v>555.89865759434531</v>
      </c>
      <c r="N74" s="48">
        <f>(N66-N68)*(1-$C$9)*Calculations!$C$21^(Calculations!$C$20)*((1-Ramp_yr1)+(1-Ramp_yr2)*Calculations!$C$21)</f>
        <v>547.4909841445857</v>
      </c>
      <c r="O74" s="48">
        <f>(O66-O68)*(1-$C$9)*Calculations!$C$21^(Calculations!$C$20)*((1-Ramp_yr1)+(1-Ramp_yr2)*Calculations!$C$21)</f>
        <v>562.50468673344199</v>
      </c>
    </row>
    <row r="75" spans="1:15" ht="15" customHeight="1" x14ac:dyDescent="0.2">
      <c r="B75" s="22" t="s">
        <v>2157</v>
      </c>
      <c r="D75" s="49">
        <f t="shared" ref="D75:O75" si="5">-D72-$C$12+D71*$C$10+D73-D74</f>
        <v>1448.0113538157725</v>
      </c>
      <c r="E75" s="49">
        <f t="shared" si="5"/>
        <v>77.881192724270875</v>
      </c>
      <c r="F75" s="49">
        <f t="shared" si="5"/>
        <v>4107.6757841698636</v>
      </c>
      <c r="G75" s="49">
        <f t="shared" si="5"/>
        <v>371.3006114139024</v>
      </c>
      <c r="H75" s="49">
        <f t="shared" si="5"/>
        <v>2040.2022621367992</v>
      </c>
      <c r="I75" s="49">
        <f t="shared" si="5"/>
        <v>958.57619042159308</v>
      </c>
      <c r="J75" s="49">
        <f t="shared" si="5"/>
        <v>1132.3247149809372</v>
      </c>
      <c r="K75" s="49">
        <f t="shared" si="5"/>
        <v>1724.237162796253</v>
      </c>
      <c r="L75" s="49">
        <f t="shared" si="5"/>
        <v>1387.8469916675313</v>
      </c>
      <c r="M75" s="49">
        <f t="shared" si="5"/>
        <v>1568.340078112255</v>
      </c>
      <c r="N75" s="49">
        <f t="shared" si="5"/>
        <v>1380.4283403550708</v>
      </c>
      <c r="O75" s="49">
        <f t="shared" si="5"/>
        <v>1501.1122929634664</v>
      </c>
    </row>
    <row r="76" spans="1:15" ht="15" customHeight="1" x14ac:dyDescent="0.2">
      <c r="B76" s="4" t="s">
        <v>2281</v>
      </c>
      <c r="C76" s="9">
        <f>--(ABS(D75-$C$15)&gt;ErrorTolerance)</f>
        <v>0</v>
      </c>
      <c r="D76" s="5" t="s">
        <v>2253</v>
      </c>
      <c r="E76" s="9" t="str">
        <f>IF(C76&gt;0,"CHECK","ok")</f>
        <v>ok</v>
      </c>
    </row>
    <row r="78" spans="1:15" ht="15" customHeight="1" x14ac:dyDescent="0.2">
      <c r="A78" s="7" t="s">
        <v>2282</v>
      </c>
      <c r="B78" s="11" t="s">
        <v>2283</v>
      </c>
      <c r="C78" s="11" t="s">
        <v>2284</v>
      </c>
      <c r="D78" s="11" t="s">
        <v>2285</v>
      </c>
      <c r="E78" s="11" t="s">
        <v>2286</v>
      </c>
    </row>
    <row r="79" spans="1:15" ht="15" customHeight="1" x14ac:dyDescent="0.2">
      <c r="B79" s="4" t="s">
        <v>2287</v>
      </c>
      <c r="C79" s="48">
        <f>E75</f>
        <v>77.881192724270875</v>
      </c>
      <c r="D79" s="48">
        <f>F75</f>
        <v>4107.6757841698636</v>
      </c>
      <c r="E79" s="49">
        <f>ABS(F75-E75)</f>
        <v>4029.7945914455927</v>
      </c>
    </row>
    <row r="80" spans="1:15" ht="15" customHeight="1" x14ac:dyDescent="0.2">
      <c r="B80" s="4" t="s">
        <v>2288</v>
      </c>
      <c r="C80" s="48">
        <f>G75</f>
        <v>371.3006114139024</v>
      </c>
      <c r="D80" s="48">
        <f>H75</f>
        <v>2040.2022621367992</v>
      </c>
      <c r="E80" s="49">
        <f>ABS(H75-G75)</f>
        <v>1668.9016507228966</v>
      </c>
    </row>
    <row r="81" spans="1:5" ht="15" customHeight="1" x14ac:dyDescent="0.2">
      <c r="B81" s="4" t="s">
        <v>2289</v>
      </c>
      <c r="C81" s="48">
        <f>I75</f>
        <v>958.57619042159308</v>
      </c>
      <c r="D81" s="48">
        <f>D75</f>
        <v>1448.0113538157725</v>
      </c>
      <c r="E81" s="49">
        <f>ABS(D75-I75)</f>
        <v>489.43516339417943</v>
      </c>
    </row>
    <row r="82" spans="1:5" ht="15" customHeight="1" x14ac:dyDescent="0.2">
      <c r="A82" s="5"/>
      <c r="B82" s="4"/>
      <c r="C82" s="48"/>
      <c r="D82" s="48"/>
      <c r="E82" s="49"/>
    </row>
    <row r="83" spans="1:5" ht="15" customHeight="1" x14ac:dyDescent="0.2">
      <c r="B83" s="83"/>
      <c r="C83" s="84"/>
      <c r="D83" s="84"/>
      <c r="E83" s="49"/>
    </row>
    <row r="84" spans="1:5" ht="15" customHeight="1" x14ac:dyDescent="0.2">
      <c r="B84" s="4"/>
      <c r="C84" s="48"/>
      <c r="D84" s="48"/>
      <c r="E84" s="49"/>
    </row>
    <row r="85" spans="1:5" ht="15" customHeight="1" x14ac:dyDescent="0.2">
      <c r="B85" s="4"/>
      <c r="C85" s="48"/>
      <c r="D85" s="48"/>
    </row>
    <row r="86" spans="1:5" ht="15" customHeight="1" x14ac:dyDescent="0.2">
      <c r="A86" s="5"/>
      <c r="B86" s="4"/>
      <c r="C86" s="48"/>
      <c r="D86" s="48"/>
    </row>
    <row r="87" spans="1:5" ht="15" customHeight="1" x14ac:dyDescent="0.2">
      <c r="B87" s="4"/>
      <c r="C87" s="48"/>
      <c r="D87" s="48"/>
    </row>
    <row r="88" spans="1:5" ht="15" customHeight="1" x14ac:dyDescent="0.2">
      <c r="B88" s="4"/>
      <c r="C88" s="48"/>
      <c r="D88" s="48"/>
    </row>
    <row r="89" spans="1:5" ht="15" customHeight="1" x14ac:dyDescent="0.2">
      <c r="B89" s="4"/>
      <c r="C89" s="48"/>
      <c r="D89" s="48"/>
    </row>
    <row r="90" spans="1:5" ht="15" customHeight="1" x14ac:dyDescent="0.2">
      <c r="B90" s="4"/>
      <c r="C90" s="48"/>
      <c r="D90" s="48"/>
    </row>
    <row r="91" spans="1:5" ht="15" customHeight="1" x14ac:dyDescent="0.2">
      <c r="B91" s="4"/>
      <c r="C91" s="48"/>
      <c r="D91" s="48"/>
    </row>
    <row r="92" spans="1:5" ht="15" customHeight="1" x14ac:dyDescent="0.2">
      <c r="B92" s="4"/>
      <c r="C92" s="48"/>
      <c r="D92" s="48"/>
    </row>
    <row r="93" spans="1:5" ht="15" customHeight="1" x14ac:dyDescent="0.2">
      <c r="B93" s="4"/>
      <c r="C93" s="48"/>
      <c r="D93" s="48"/>
    </row>
    <row r="95" spans="1:5" ht="15" customHeight="1" x14ac:dyDescent="0.2">
      <c r="B95" s="5" t="s">
        <v>2290</v>
      </c>
    </row>
    <row r="96" spans="1:5" ht="15" customHeight="1" x14ac:dyDescent="0.2">
      <c r="A96" t="s">
        <v>2291</v>
      </c>
    </row>
    <row r="97" spans="2:4" ht="15" customHeight="1" x14ac:dyDescent="0.2">
      <c r="B97" t="s">
        <v>2283</v>
      </c>
      <c r="C97" t="s">
        <v>2292</v>
      </c>
      <c r="D97" t="s">
        <v>2293</v>
      </c>
    </row>
    <row r="98" spans="2:4" ht="15" customHeight="1" x14ac:dyDescent="0.2">
      <c r="B98" t="s">
        <v>2294</v>
      </c>
      <c r="C98" s="70">
        <f>MIN(E75,F75)</f>
        <v>77.881192724270875</v>
      </c>
      <c r="D98" s="70">
        <f>ABS(F75-E75)</f>
        <v>4029.7945914455927</v>
      </c>
    </row>
    <row r="99" spans="2:4" ht="15" customHeight="1" x14ac:dyDescent="0.2">
      <c r="B99" t="s">
        <v>2295</v>
      </c>
      <c r="C99" s="70">
        <f>MIN(G75,H75)</f>
        <v>371.3006114139024</v>
      </c>
      <c r="D99" s="70">
        <f>ABS(H75-G75)</f>
        <v>1668.9016507228966</v>
      </c>
    </row>
    <row r="100" spans="2:4" ht="15" customHeight="1" x14ac:dyDescent="0.2">
      <c r="B100" t="s">
        <v>2296</v>
      </c>
      <c r="C100" s="70">
        <f>MIN(J75,K75)</f>
        <v>1132.3247149809372</v>
      </c>
      <c r="D100" s="70">
        <f>ABS(K75-J75)</f>
        <v>591.91244781531577</v>
      </c>
    </row>
    <row r="101" spans="2:4" ht="15" customHeight="1" x14ac:dyDescent="0.2">
      <c r="B101" t="s">
        <v>2297</v>
      </c>
      <c r="C101" s="70">
        <f>MIN(I75,D75)</f>
        <v>958.57619042159308</v>
      </c>
      <c r="D101" s="70">
        <f>ABS(D75-I75)</f>
        <v>489.43516339417943</v>
      </c>
    </row>
    <row r="102" spans="2:4" ht="15" customHeight="1" x14ac:dyDescent="0.2">
      <c r="B102" t="s">
        <v>2298</v>
      </c>
      <c r="C102" s="70">
        <f>MIN(L75,M75)</f>
        <v>1387.8469916675313</v>
      </c>
      <c r="D102" s="70">
        <f>ABS(M75-L75)</f>
        <v>180.49308644472376</v>
      </c>
    </row>
    <row r="103" spans="2:4" ht="15" customHeight="1" x14ac:dyDescent="0.2">
      <c r="B103" t="s">
        <v>2299</v>
      </c>
      <c r="C103" s="70">
        <f>MIN(N75,O75)</f>
        <v>1380.4283403550708</v>
      </c>
      <c r="D103" s="70">
        <f>ABS(O75-N75)</f>
        <v>120.68395260839566</v>
      </c>
    </row>
  </sheetData>
  <sheetProtection sheet="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548235"/>
  </sheetPr>
  <dimension ref="A1:K36"/>
  <sheetViews>
    <sheetView showGridLines="0" zoomScale="85" zoomScaleNormal="85" workbookViewId="0">
      <pane ySplit="2" topLeftCell="A3" activePane="bottomLeft" state="frozen"/>
      <selection activeCell="R16" sqref="R16"/>
      <selection pane="bottomLeft" activeCell="A2" sqref="A2"/>
    </sheetView>
  </sheetViews>
  <sheetFormatPr baseColWidth="10" defaultColWidth="8.6640625" defaultRowHeight="15" x14ac:dyDescent="0.2"/>
  <cols>
    <col min="1" max="1" width="2" customWidth="1"/>
    <col min="2" max="2" width="15" customWidth="1"/>
    <col min="3" max="3" width="20" customWidth="1"/>
    <col min="5" max="5" width="15" customWidth="1"/>
    <col min="6" max="6" width="17.5" customWidth="1"/>
    <col min="7" max="7" width="21.5" customWidth="1"/>
    <col min="8" max="8" width="16.33203125" customWidth="1"/>
    <col min="9" max="9" width="19.33203125" customWidth="1"/>
  </cols>
  <sheetData>
    <row r="1" spans="1:11" ht="15.75" customHeight="1" x14ac:dyDescent="0.2">
      <c r="A1" s="14" t="s">
        <v>2300</v>
      </c>
      <c r="C1" s="9" t="str">
        <f>IF(Checks!$C$4&gt;0,"MODEL IN ERROR","checks OK")</f>
        <v>checks OK</v>
      </c>
    </row>
    <row r="2" spans="1:11" ht="30" customHeight="1" x14ac:dyDescent="0.2">
      <c r="A2" t="s">
        <v>2301</v>
      </c>
    </row>
    <row r="4" spans="1:11" ht="15" customHeight="1" x14ac:dyDescent="0.2">
      <c r="B4" s="12" t="s">
        <v>2302</v>
      </c>
      <c r="E4" s="12" t="s">
        <v>2303</v>
      </c>
    </row>
    <row r="5" spans="1:11" ht="15" customHeight="1" x14ac:dyDescent="0.2">
      <c r="B5" s="12" t="s">
        <v>2304</v>
      </c>
      <c r="C5" s="12" t="s">
        <v>2305</v>
      </c>
      <c r="E5" s="12" t="s">
        <v>123</v>
      </c>
      <c r="F5" s="12" t="s">
        <v>2185</v>
      </c>
      <c r="G5" s="12" t="s">
        <v>2306</v>
      </c>
      <c r="H5" s="12" t="s">
        <v>2493</v>
      </c>
      <c r="I5" s="12" t="s">
        <v>2494</v>
      </c>
      <c r="J5" s="12" t="s">
        <v>60</v>
      </c>
      <c r="K5" s="12" t="s">
        <v>2157</v>
      </c>
    </row>
    <row r="6" spans="1:11" ht="15" customHeight="1" x14ac:dyDescent="0.2">
      <c r="B6" s="63">
        <v>0</v>
      </c>
      <c r="C6" s="28">
        <f t="shared" ref="C6:C14" si="0">MAX(Price_floor,Compute_P0*(1-Price_decline)^B6)</f>
        <v>5.7</v>
      </c>
      <c r="E6" s="8" t="str">
        <f>Comparison!C6</f>
        <v>Norway</v>
      </c>
      <c r="F6" s="64">
        <f>Comparison!C9</f>
        <v>2</v>
      </c>
      <c r="G6" s="29">
        <f>Comparison!C17</f>
        <v>3.648000000000001</v>
      </c>
      <c r="H6" s="131"/>
      <c r="I6" s="129">
        <f>Comparison!C$39</f>
        <v>0.59483429345729322</v>
      </c>
      <c r="K6" s="130">
        <f>Comparison!C$38</f>
        <v>1448.0113538157748</v>
      </c>
    </row>
    <row r="7" spans="1:11" ht="15" customHeight="1" x14ac:dyDescent="0.2">
      <c r="B7" s="63">
        <v>1</v>
      </c>
      <c r="C7" s="28">
        <f t="shared" si="0"/>
        <v>4.5600000000000005</v>
      </c>
      <c r="E7" s="8" t="str">
        <f>Comparison!D6</f>
        <v>United States</v>
      </c>
      <c r="F7" s="64">
        <f>Comparison!D9</f>
        <v>4.5</v>
      </c>
      <c r="G7" s="29">
        <f>Comparison!D17</f>
        <v>2.5</v>
      </c>
      <c r="I7" s="129">
        <f>Comparison!D$39</f>
        <v>0.97870690953548811</v>
      </c>
      <c r="K7" s="130">
        <f>Comparison!D$38</f>
        <v>-281.96076514693641</v>
      </c>
    </row>
    <row r="8" spans="1:11" ht="15" customHeight="1" x14ac:dyDescent="0.2">
      <c r="B8" s="63">
        <v>2</v>
      </c>
      <c r="C8" s="28">
        <f t="shared" si="0"/>
        <v>3.648000000000001</v>
      </c>
      <c r="E8" s="8" t="str">
        <f>Comparison!E6</f>
        <v>India</v>
      </c>
      <c r="F8" s="64">
        <f>Comparison!E9</f>
        <v>3</v>
      </c>
      <c r="G8" s="29">
        <f>Comparison!E17</f>
        <v>2.918400000000001</v>
      </c>
      <c r="I8" s="129">
        <f>Comparison!E$39</f>
        <v>0.87615746106345249</v>
      </c>
      <c r="K8" s="130">
        <f>Comparison!E$38</f>
        <v>12.417255788229795</v>
      </c>
    </row>
    <row r="9" spans="1:11" ht="15" customHeight="1" x14ac:dyDescent="0.2">
      <c r="B9" s="63">
        <v>3</v>
      </c>
      <c r="C9" s="28">
        <f t="shared" si="0"/>
        <v>2.918400000000001</v>
      </c>
      <c r="E9" s="8" t="str">
        <f>Comparison!F6</f>
        <v>Ireland</v>
      </c>
      <c r="F9" s="64">
        <f>Comparison!F9</f>
        <v>6</v>
      </c>
      <c r="G9" s="29">
        <f>Comparison!F17</f>
        <v>2.5</v>
      </c>
      <c r="I9" s="129" t="str">
        <f>Comparison!F$39</f>
        <v>&gt;100% (never)</v>
      </c>
      <c r="K9" s="130">
        <f>Comparison!F$38</f>
        <v>-460.96697688295785</v>
      </c>
    </row>
    <row r="10" spans="1:11" ht="15" customHeight="1" x14ac:dyDescent="0.2">
      <c r="B10" s="63">
        <v>4</v>
      </c>
      <c r="C10" s="28">
        <f t="shared" si="0"/>
        <v>2.5</v>
      </c>
      <c r="E10" s="8" t="str">
        <f>Comparison!G6</f>
        <v>Saudi Arabia</v>
      </c>
      <c r="F10" s="64">
        <f>Comparison!G9</f>
        <v>2</v>
      </c>
      <c r="G10" s="29">
        <f>Comparison!G17</f>
        <v>3.648000000000001</v>
      </c>
      <c r="I10" s="129">
        <f>Comparison!G$39</f>
        <v>0.59907961870825854</v>
      </c>
      <c r="K10" s="130">
        <f>Comparison!G$38</f>
        <v>1428.751357007483</v>
      </c>
    </row>
    <row r="11" spans="1:11" ht="15" customHeight="1" x14ac:dyDescent="0.2">
      <c r="B11" s="63">
        <v>5</v>
      </c>
      <c r="C11" s="28">
        <f t="shared" si="0"/>
        <v>2.5</v>
      </c>
    </row>
    <row r="12" spans="1:11" ht="15" customHeight="1" x14ac:dyDescent="0.2">
      <c r="B12" s="63">
        <v>6</v>
      </c>
      <c r="C12" s="28">
        <f t="shared" si="0"/>
        <v>2.5</v>
      </c>
    </row>
    <row r="13" spans="1:11" ht="15" customHeight="1" x14ac:dyDescent="0.2">
      <c r="B13" s="63">
        <v>7</v>
      </c>
      <c r="C13" s="28">
        <f t="shared" si="0"/>
        <v>2.5</v>
      </c>
    </row>
    <row r="14" spans="1:11" ht="15" customHeight="1" x14ac:dyDescent="0.2">
      <c r="B14" s="63">
        <v>8</v>
      </c>
      <c r="C14" s="28">
        <f t="shared" si="0"/>
        <v>2.5</v>
      </c>
    </row>
    <row r="34" spans="1:3" ht="54" customHeight="1" x14ac:dyDescent="0.2">
      <c r="A34" s="23" t="s">
        <v>2307</v>
      </c>
    </row>
    <row r="36" spans="1:3" ht="15" customHeight="1" x14ac:dyDescent="0.2">
      <c r="A36" t="s">
        <v>2308</v>
      </c>
      <c r="C36" s="9">
        <f>--(ABS(SUM(G6:G10)-SUM(Comparison!C17:G17))&gt;ErrorTolerance)</f>
        <v>0</v>
      </c>
    </row>
  </sheetData>
  <sheetProtection sheet="1" objects="1" scenarios="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548235"/>
  </sheetPr>
  <dimension ref="A1:U17"/>
  <sheetViews>
    <sheetView showGridLines="0" zoomScale="85" zoomScaleNormal="85" workbookViewId="0">
      <pane xSplit="1" ySplit="3" topLeftCell="B4" activePane="bottomRight" state="frozen"/>
      <selection activeCell="R16" sqref="R16"/>
      <selection pane="topRight" activeCell="R16" sqref="R16"/>
      <selection pane="bottomLeft" activeCell="R16" sqref="R16"/>
      <selection pane="bottomRight" activeCell="U39" sqref="U39"/>
    </sheetView>
  </sheetViews>
  <sheetFormatPr baseColWidth="10" defaultColWidth="8.6640625" defaultRowHeight="15" x14ac:dyDescent="0.2"/>
  <cols>
    <col min="1" max="1" width="32" customWidth="1"/>
    <col min="2" max="21" width="12" customWidth="1"/>
    <col min="22" max="22" width="9.5" customWidth="1"/>
  </cols>
  <sheetData>
    <row r="1" spans="1:21" ht="17.25" customHeight="1" x14ac:dyDescent="0.2">
      <c r="A1" s="1" t="str">
        <f>"Country detail — "&amp;Assumptions!$B$5&amp;" ("&amp;Assumptions!$B$4&amp;")"</f>
        <v>Country detail — Norway (Base)</v>
      </c>
      <c r="C1" s="2" t="str">
        <f>IF(Checks!$C$4&gt;0,"MODEL IN ERROR","checks OK")</f>
        <v>checks OK</v>
      </c>
    </row>
    <row r="2" spans="1:21" ht="15" customHeight="1" x14ac:dyDescent="0.2">
      <c r="A2" s="5" t="s">
        <v>2337</v>
      </c>
    </row>
    <row r="3" spans="1:21" ht="15" customHeight="1" x14ac:dyDescent="0.2">
      <c r="A3" s="7" t="s">
        <v>2338</v>
      </c>
    </row>
    <row r="4" spans="1:21" ht="15" customHeight="1" x14ac:dyDescent="0.2">
      <c r="A4" s="4" t="s">
        <v>123</v>
      </c>
      <c r="B4" s="8" t="str">
        <f>Assumptions!$B$5</f>
        <v>Norway</v>
      </c>
    </row>
    <row r="5" spans="1:21" ht="15" customHeight="1" x14ac:dyDescent="0.2">
      <c r="A5" s="4" t="s">
        <v>119</v>
      </c>
      <c r="B5" s="8" t="str">
        <f>Assumptions!$B$4</f>
        <v>Base</v>
      </c>
    </row>
    <row r="6" spans="1:21" ht="15" customHeight="1" x14ac:dyDescent="0.2">
      <c r="A6" s="4" t="s">
        <v>2339</v>
      </c>
      <c r="B6" s="48">
        <f>-(Calculations!$C$7+Calculations!$C$6)</f>
        <v>-4260</v>
      </c>
    </row>
    <row r="7" spans="1:21" ht="15" customHeight="1" x14ac:dyDescent="0.2">
      <c r="A7" s="4" t="s">
        <v>2340</v>
      </c>
      <c r="B7" s="50">
        <f>Calculations!$C$14</f>
        <v>2503.840976</v>
      </c>
    </row>
    <row r="8" spans="1:21" ht="15" customHeight="1" x14ac:dyDescent="0.2">
      <c r="A8" s="4" t="s">
        <v>2341</v>
      </c>
      <c r="B8" s="50">
        <f>Calculations!C61</f>
        <v>1448.0113538157734</v>
      </c>
    </row>
    <row r="9" spans="1:21" ht="15" customHeight="1" x14ac:dyDescent="0.2">
      <c r="A9" s="4" t="s">
        <v>60</v>
      </c>
      <c r="B9" s="59">
        <f>Calculations!C62</f>
        <v>0.18467512957830179</v>
      </c>
    </row>
    <row r="10" spans="1:21" ht="15" customHeight="1" x14ac:dyDescent="0.2">
      <c r="A10" s="4" t="s">
        <v>62</v>
      </c>
      <c r="B10" s="24">
        <f>Calculations!C63</f>
        <v>5</v>
      </c>
    </row>
    <row r="11" spans="1:21" ht="15" customHeight="1" x14ac:dyDescent="0.2">
      <c r="A11" s="4" t="s">
        <v>63</v>
      </c>
      <c r="B11" s="59">
        <f>Calculations!C64</f>
        <v>0.59483429345729344</v>
      </c>
    </row>
    <row r="12" spans="1:21" ht="15" customHeight="1" x14ac:dyDescent="0.2">
      <c r="A12" s="4" t="s">
        <v>2342</v>
      </c>
      <c r="B12" s="31">
        <f>Calculations!$C$10/Calculations!$C$9</f>
        <v>1.7485380116959062E-2</v>
      </c>
    </row>
    <row r="14" spans="1:21" ht="15" customHeight="1" x14ac:dyDescent="0.2">
      <c r="A14" s="7" t="s">
        <v>2343</v>
      </c>
    </row>
    <row r="15" spans="1:21" ht="15" customHeight="1" x14ac:dyDescent="0.2">
      <c r="A15" s="4" t="s">
        <v>2126</v>
      </c>
      <c r="B15" s="25">
        <f>Calculations!D36</f>
        <v>0</v>
      </c>
      <c r="C15" s="25">
        <f>Calculations!E36</f>
        <v>1</v>
      </c>
      <c r="D15" s="25">
        <f>Calculations!F36</f>
        <v>2</v>
      </c>
      <c r="E15" s="25">
        <f>Calculations!G36</f>
        <v>3</v>
      </c>
      <c r="F15" s="25">
        <f>Calculations!H36</f>
        <v>4</v>
      </c>
      <c r="G15" s="25">
        <f>Calculations!I36</f>
        <v>5</v>
      </c>
      <c r="H15" s="25">
        <f>Calculations!J36</f>
        <v>6</v>
      </c>
      <c r="I15" s="25">
        <f>Calculations!K36</f>
        <v>7</v>
      </c>
      <c r="J15" s="25">
        <f>Calculations!L36</f>
        <v>8</v>
      </c>
      <c r="K15" s="25">
        <f>Calculations!M36</f>
        <v>9</v>
      </c>
      <c r="L15" s="25">
        <f>Calculations!N36</f>
        <v>10</v>
      </c>
      <c r="M15" s="25">
        <f>Calculations!O36</f>
        <v>11</v>
      </c>
      <c r="N15" s="25">
        <f>Calculations!P36</f>
        <v>12</v>
      </c>
      <c r="O15" s="25">
        <f>Calculations!Q36</f>
        <v>13</v>
      </c>
      <c r="P15" s="25">
        <f>Calculations!R36</f>
        <v>14</v>
      </c>
      <c r="Q15" s="25">
        <f>Calculations!S36</f>
        <v>15</v>
      </c>
      <c r="R15" s="25">
        <f>Calculations!T36</f>
        <v>16</v>
      </c>
      <c r="S15" s="25">
        <f>Calculations!U36</f>
        <v>17</v>
      </c>
      <c r="T15" s="25">
        <f>Calculations!V36</f>
        <v>18</v>
      </c>
      <c r="U15" s="25">
        <f>Calculations!W36</f>
        <v>19</v>
      </c>
    </row>
    <row r="16" spans="1:21" ht="15" customHeight="1" x14ac:dyDescent="0.2">
      <c r="A16" s="4" t="s">
        <v>2344</v>
      </c>
      <c r="B16" s="50">
        <f>Calculations!D52</f>
        <v>-870</v>
      </c>
      <c r="C16" s="50">
        <f>Calculations!E52</f>
        <v>-896.1</v>
      </c>
      <c r="D16" s="50">
        <f>Calculations!F52</f>
        <v>-1646.14101536</v>
      </c>
      <c r="E16" s="50">
        <f>Calculations!G52</f>
        <v>1155.9867337600001</v>
      </c>
      <c r="F16" s="50">
        <f>Calculations!H52</f>
        <v>1348.0075456000002</v>
      </c>
      <c r="G16" s="50">
        <f>Calculations!I52</f>
        <v>1348.0075456000002</v>
      </c>
      <c r="H16" s="50">
        <f>Calculations!J52</f>
        <v>2327.5675455999999</v>
      </c>
      <c r="I16" s="50">
        <f>Calculations!K52</f>
        <v>0</v>
      </c>
      <c r="J16" s="50">
        <f>Calculations!L52</f>
        <v>0</v>
      </c>
      <c r="K16" s="50">
        <f>Calculations!M52</f>
        <v>0</v>
      </c>
      <c r="L16" s="50">
        <f>Calculations!N52</f>
        <v>0</v>
      </c>
      <c r="M16" s="50">
        <f>Calculations!O52</f>
        <v>0</v>
      </c>
      <c r="N16" s="50">
        <f>Calculations!P52</f>
        <v>0</v>
      </c>
      <c r="O16" s="50">
        <f>Calculations!Q52</f>
        <v>0</v>
      </c>
      <c r="P16" s="50">
        <f>Calculations!R52</f>
        <v>0</v>
      </c>
      <c r="Q16" s="50">
        <f>Calculations!S52</f>
        <v>0</v>
      </c>
      <c r="R16" s="50">
        <f>Calculations!T52</f>
        <v>0</v>
      </c>
      <c r="S16" s="50">
        <f>Calculations!U52</f>
        <v>0</v>
      </c>
      <c r="T16" s="50">
        <f>Calculations!V52</f>
        <v>0</v>
      </c>
      <c r="U16" s="50">
        <f>Calculations!W52</f>
        <v>0</v>
      </c>
    </row>
    <row r="17" spans="1:21" ht="15" customHeight="1" x14ac:dyDescent="0.2">
      <c r="A17" s="4" t="s">
        <v>2345</v>
      </c>
      <c r="B17" s="50">
        <f>Calculations!D55</f>
        <v>-870</v>
      </c>
      <c r="C17" s="50">
        <f>Calculations!E55</f>
        <v>-1766.1</v>
      </c>
      <c r="D17" s="50">
        <f>Calculations!F55</f>
        <v>-3412.2410153599999</v>
      </c>
      <c r="E17" s="50">
        <f>Calculations!G55</f>
        <v>-2256.2542815999996</v>
      </c>
      <c r="F17" s="50">
        <f>Calculations!H55</f>
        <v>-908.24673599999937</v>
      </c>
      <c r="G17" s="50">
        <f>Calculations!I55</f>
        <v>439.76080960000081</v>
      </c>
      <c r="H17" s="50">
        <f>Calculations!J55</f>
        <v>2767.3283552000007</v>
      </c>
      <c r="I17" s="50">
        <f>Calculations!K55</f>
        <v>2767.3283552000007</v>
      </c>
      <c r="J17" s="50">
        <f>Calculations!L55</f>
        <v>2767.3283552000007</v>
      </c>
      <c r="K17" s="50">
        <f>Calculations!M55</f>
        <v>2767.3283552000007</v>
      </c>
      <c r="L17" s="50">
        <f>Calculations!N55</f>
        <v>2767.3283552000007</v>
      </c>
      <c r="M17" s="50">
        <f>Calculations!O55</f>
        <v>2767.3283552000007</v>
      </c>
      <c r="N17" s="50">
        <f>Calculations!P55</f>
        <v>2767.3283552000007</v>
      </c>
      <c r="O17" s="50">
        <f>Calculations!Q55</f>
        <v>2767.3283552000007</v>
      </c>
      <c r="P17" s="50">
        <f>Calculations!R55</f>
        <v>2767.3283552000007</v>
      </c>
      <c r="Q17" s="50">
        <f>Calculations!S55</f>
        <v>2767.3283552000007</v>
      </c>
      <c r="R17" s="50">
        <f>Calculations!T55</f>
        <v>2767.3283552000007</v>
      </c>
      <c r="S17" s="50">
        <f>Calculations!U55</f>
        <v>2767.3283552000007</v>
      </c>
      <c r="T17" s="50">
        <f>Calculations!V55</f>
        <v>2767.3283552000007</v>
      </c>
      <c r="U17" s="50">
        <f>Calculations!W55</f>
        <v>2767.3283552000007</v>
      </c>
    </row>
  </sheetData>
  <sheetProtection sheet="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548235"/>
  </sheetPr>
  <dimension ref="A1:G27"/>
  <sheetViews>
    <sheetView showGridLines="0" zoomScale="85" zoomScaleNormal="85" workbookViewId="0">
      <pane xSplit="2" ySplit="4" topLeftCell="C5" activePane="bottomRight" state="frozen"/>
      <selection activeCell="R16" sqref="R16"/>
      <selection pane="topRight" activeCell="R16" sqref="R16"/>
      <selection pane="bottomLeft" activeCell="R16" sqref="R16"/>
      <selection pane="bottomRight" activeCell="A2" sqref="A2"/>
    </sheetView>
  </sheetViews>
  <sheetFormatPr baseColWidth="10" defaultColWidth="8.6640625" defaultRowHeight="15" x14ac:dyDescent="0.2"/>
  <cols>
    <col min="1" max="1" width="4" customWidth="1"/>
    <col min="2" max="2" width="40" customWidth="1"/>
    <col min="3" max="7" width="13" customWidth="1"/>
  </cols>
  <sheetData>
    <row r="1" spans="1:7" ht="17.25" customHeight="1" x14ac:dyDescent="0.2">
      <c r="A1" s="1" t="s">
        <v>2347</v>
      </c>
      <c r="C1" s="2" t="str">
        <f>IF(Checks!$C$4&gt;0,"MODEL IN ERROR","checks OK")</f>
        <v>checks OK</v>
      </c>
    </row>
    <row r="2" spans="1:7" ht="15" customHeight="1" x14ac:dyDescent="0.2">
      <c r="A2" s="5" t="s">
        <v>2348</v>
      </c>
    </row>
    <row r="4" spans="1:7" ht="15" customHeight="1" x14ac:dyDescent="0.2">
      <c r="B4" s="11" t="s">
        <v>2182</v>
      </c>
      <c r="C4" s="71" t="str">
        <f>Comparison!C6</f>
        <v>Norway</v>
      </c>
      <c r="D4" s="71" t="str">
        <f>Comparison!D6</f>
        <v>United States</v>
      </c>
      <c r="E4" s="71" t="str">
        <f>Comparison!E6</f>
        <v>India</v>
      </c>
      <c r="F4" s="71" t="str">
        <f>Comparison!F6</f>
        <v>Ireland</v>
      </c>
      <c r="G4" s="71" t="str">
        <f>Comparison!G6</f>
        <v>Saudi Arabia</v>
      </c>
    </row>
    <row r="6" spans="1:7" ht="15" customHeight="1" x14ac:dyDescent="0.2">
      <c r="B6" s="22" t="s">
        <v>2349</v>
      </c>
      <c r="C6" s="51">
        <f>Comparison!C38</f>
        <v>1448.0113538157748</v>
      </c>
      <c r="D6" s="51">
        <f>Comparison!D38</f>
        <v>-281.96076514693641</v>
      </c>
      <c r="E6" s="51">
        <f>Comparison!E38</f>
        <v>12.417255788229795</v>
      </c>
      <c r="F6" s="51">
        <f>Comparison!F38</f>
        <v>-460.96697688295785</v>
      </c>
      <c r="G6" s="51">
        <f>Comparison!G38</f>
        <v>1428.751357007483</v>
      </c>
    </row>
    <row r="7" spans="1:7" ht="15" customHeight="1" x14ac:dyDescent="0.2">
      <c r="B7" s="4" t="s">
        <v>2185</v>
      </c>
      <c r="C7" s="29">
        <f>Comparison!C9</f>
        <v>2</v>
      </c>
      <c r="D7" s="29">
        <f>Comparison!D9</f>
        <v>4.5</v>
      </c>
      <c r="E7" s="29">
        <f>Comparison!E9</f>
        <v>3</v>
      </c>
      <c r="F7" s="29">
        <f>Comparison!F9</f>
        <v>6</v>
      </c>
      <c r="G7" s="29">
        <f>Comparison!G9</f>
        <v>2</v>
      </c>
    </row>
    <row r="14" spans="1:7" ht="15" customHeight="1" x14ac:dyDescent="0.2">
      <c r="B14" s="22" t="s">
        <v>2350</v>
      </c>
      <c r="C14" s="51">
        <f>'Country Engine'!G671</f>
        <v>4782.4226823253293</v>
      </c>
      <c r="D14" s="51">
        <f>'Country Engine'!G672</f>
        <v>4747.3517709849639</v>
      </c>
      <c r="E14" s="51">
        <f>'Country Engine'!G673</f>
        <v>4090.039003230544</v>
      </c>
      <c r="F14" s="51">
        <f>'Country Engine'!G674</f>
        <v>5050.1705094795743</v>
      </c>
      <c r="G14" s="51">
        <f>'Country Engine'!G675</f>
        <v>4834.222440552905</v>
      </c>
    </row>
    <row r="15" spans="1:7" ht="15" customHeight="1" x14ac:dyDescent="0.2">
      <c r="B15" s="4" t="s">
        <v>2497</v>
      </c>
      <c r="C15" s="72">
        <f>C6-C14</f>
        <v>-3334.4113285095546</v>
      </c>
      <c r="D15" s="72">
        <f>D6-D14</f>
        <v>-5029.3125361318998</v>
      </c>
      <c r="E15" s="72">
        <f>E6-E14</f>
        <v>-4077.6217474423142</v>
      </c>
      <c r="F15" s="72">
        <f>F6-F14</f>
        <v>-5511.1374863625324</v>
      </c>
      <c r="G15" s="72">
        <f>G6-G14</f>
        <v>-3405.4710835454221</v>
      </c>
    </row>
    <row r="16" spans="1:7" ht="15" customHeight="1" x14ac:dyDescent="0.2">
      <c r="B16" s="4" t="s">
        <v>2351</v>
      </c>
      <c r="C16" s="30">
        <f>RANK(C6,$C$6:$G$6,0)</f>
        <v>1</v>
      </c>
      <c r="D16" s="30">
        <f>RANK(D6,$C$6:$G$6,0)</f>
        <v>4</v>
      </c>
      <c r="E16" s="30">
        <f>RANK(E6,$C$6:$G$6,0)</f>
        <v>3</v>
      </c>
      <c r="F16" s="30">
        <f>RANK(F6,$C$6:$G$6,0)</f>
        <v>5</v>
      </c>
      <c r="G16" s="30">
        <f>RANK(G6,$C$6:$G$6,0)</f>
        <v>2</v>
      </c>
    </row>
    <row r="17" spans="1:7" ht="15" customHeight="1" x14ac:dyDescent="0.2">
      <c r="B17" s="4" t="s">
        <v>2352</v>
      </c>
      <c r="C17" s="30">
        <f>RANK(C14,$C$14:$G$14,0)</f>
        <v>3</v>
      </c>
      <c r="D17" s="30">
        <f>RANK(D14,$C$14:$G$14,0)</f>
        <v>4</v>
      </c>
      <c r="E17" s="30">
        <f>RANK(E14,$C$14:$G$14,0)</f>
        <v>5</v>
      </c>
      <c r="F17" s="30">
        <f>RANK(F14,$C$14:$G$14,0)</f>
        <v>1</v>
      </c>
      <c r="G17" s="30">
        <f>RANK(G14,$C$14:$G$14,0)</f>
        <v>2</v>
      </c>
    </row>
    <row r="19" spans="1:7" ht="15" customHeight="1" x14ac:dyDescent="0.2">
      <c r="A19" s="5" t="s">
        <v>2353</v>
      </c>
    </row>
    <row r="20" spans="1:7" ht="15" customHeight="1" x14ac:dyDescent="0.2">
      <c r="B20" s="11" t="s">
        <v>123</v>
      </c>
      <c r="C20" s="52" t="s">
        <v>2354</v>
      </c>
      <c r="D20" s="52" t="s">
        <v>2355</v>
      </c>
      <c r="E20" s="52" t="s">
        <v>2356</v>
      </c>
    </row>
    <row r="21" spans="1:7" ht="15" customHeight="1" x14ac:dyDescent="0.2">
      <c r="B21" s="8" t="str">
        <f>Comparison!C6</f>
        <v>Norway</v>
      </c>
      <c r="C21" s="48">
        <f>C6</f>
        <v>1448.0113538157748</v>
      </c>
      <c r="D21" s="48">
        <f>C14</f>
        <v>4782.4226823253293</v>
      </c>
      <c r="E21" s="48">
        <f>C6-C14</f>
        <v>-3334.4113285095546</v>
      </c>
    </row>
    <row r="22" spans="1:7" ht="15" customHeight="1" x14ac:dyDescent="0.2">
      <c r="B22" s="8" t="str">
        <f>Comparison!D6</f>
        <v>United States</v>
      </c>
      <c r="C22" s="48">
        <f>D6</f>
        <v>-281.96076514693641</v>
      </c>
      <c r="D22" s="48">
        <f>D14</f>
        <v>4747.3517709849639</v>
      </c>
      <c r="E22" s="48">
        <f>D6-D14</f>
        <v>-5029.3125361318998</v>
      </c>
    </row>
    <row r="23" spans="1:7" ht="15" customHeight="1" x14ac:dyDescent="0.2">
      <c r="B23" s="8" t="str">
        <f>Comparison!E6</f>
        <v>India</v>
      </c>
      <c r="C23" s="48">
        <f>E6</f>
        <v>12.417255788229795</v>
      </c>
      <c r="D23" s="48">
        <f>E14</f>
        <v>4090.039003230544</v>
      </c>
      <c r="E23" s="48">
        <f>E6-E14</f>
        <v>-4077.6217474423142</v>
      </c>
    </row>
    <row r="24" spans="1:7" ht="15" customHeight="1" x14ac:dyDescent="0.2">
      <c r="B24" s="8" t="str">
        <f>Comparison!F6</f>
        <v>Ireland</v>
      </c>
      <c r="C24" s="48">
        <f>F6</f>
        <v>-460.96697688295785</v>
      </c>
      <c r="D24" s="48">
        <f>F14</f>
        <v>5050.1705094795743</v>
      </c>
      <c r="E24" s="48">
        <f>F6-F14</f>
        <v>-5511.1374863625324</v>
      </c>
    </row>
    <row r="25" spans="1:7" ht="15" customHeight="1" x14ac:dyDescent="0.2">
      <c r="B25" s="8" t="str">
        <f>Comparison!G6</f>
        <v>Saudi Arabia</v>
      </c>
      <c r="C25" s="48">
        <f>G6</f>
        <v>1428.751357007483</v>
      </c>
      <c r="D25" s="48">
        <f>G14</f>
        <v>4834.222440552905</v>
      </c>
      <c r="E25" s="48">
        <f>G6-G14</f>
        <v>-3405.4710835454221</v>
      </c>
    </row>
    <row r="27" spans="1:7" ht="15" customHeight="1" x14ac:dyDescent="0.2">
      <c r="B27" s="4" t="s">
        <v>2357</v>
      </c>
      <c r="C27" s="9">
        <f>--(MAX(C15:G15)&gt;ErrorTolerance)</f>
        <v>0</v>
      </c>
      <c r="E27" s="9" t="str">
        <f>IF(MAX(C15:G15)&gt;ErrorTolerance,"CHECK","ok")</f>
        <v>ok</v>
      </c>
    </row>
  </sheetData>
  <sheetProtection sheet="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548235"/>
  </sheetPr>
  <dimension ref="A1:G43"/>
  <sheetViews>
    <sheetView showGridLines="0" zoomScale="85" zoomScaleNormal="85" workbookViewId="0">
      <pane xSplit="2" ySplit="4" topLeftCell="C5" activePane="bottomRight" state="frozen"/>
      <selection activeCell="R16" sqref="R16"/>
      <selection pane="topRight" activeCell="R16" sqref="R16"/>
      <selection pane="bottomLeft" activeCell="R16" sqref="R16"/>
      <selection pane="bottomRight" activeCell="A2" sqref="A2"/>
    </sheetView>
  </sheetViews>
  <sheetFormatPr baseColWidth="10" defaultColWidth="8.6640625" defaultRowHeight="15" x14ac:dyDescent="0.2"/>
  <cols>
    <col min="1" max="1" width="4" customWidth="1"/>
    <col min="2" max="2" width="40" customWidth="1"/>
    <col min="3" max="7" width="13" customWidth="1"/>
  </cols>
  <sheetData>
    <row r="1" spans="1:7" ht="17.25" customHeight="1" x14ac:dyDescent="0.2">
      <c r="A1" s="1" t="s">
        <v>2358</v>
      </c>
      <c r="C1" s="2" t="str">
        <f>IF(Checks!$C$4&gt;0,"MODEL IN ERROR","checks OK")</f>
        <v>checks OK</v>
      </c>
    </row>
    <row r="2" spans="1:7" ht="15" customHeight="1" x14ac:dyDescent="0.2">
      <c r="A2" s="5" t="s">
        <v>2359</v>
      </c>
    </row>
    <row r="4" spans="1:7" ht="15" customHeight="1" x14ac:dyDescent="0.2">
      <c r="B4" s="11" t="s">
        <v>2182</v>
      </c>
      <c r="C4" s="71" t="str">
        <f>Comparison!C6</f>
        <v>Norway</v>
      </c>
      <c r="D4" s="71" t="str">
        <f>Comparison!D6</f>
        <v>United States</v>
      </c>
      <c r="E4" s="71" t="str">
        <f>Comparison!E6</f>
        <v>India</v>
      </c>
      <c r="F4" s="71" t="str">
        <f>Comparison!F6</f>
        <v>Ireland</v>
      </c>
      <c r="G4" s="71" t="str">
        <f>Comparison!G6</f>
        <v>Saudi Arabia</v>
      </c>
    </row>
    <row r="15" spans="1:7" ht="15" customHeight="1" x14ac:dyDescent="0.2">
      <c r="A15" s="7" t="s">
        <v>2360</v>
      </c>
    </row>
    <row r="26" spans="1:7" ht="15" customHeight="1" x14ac:dyDescent="0.2">
      <c r="B26" s="2" t="s">
        <v>2361</v>
      </c>
      <c r="C26" s="51">
        <f>INDEX('Country Engine'!$C$671:$C$675,MATCH(C$4,'Country Engine'!$A$671:$A$675,0))</f>
        <v>1448.0113538157748</v>
      </c>
      <c r="D26" s="51">
        <f>INDEX('Country Engine'!$C$671:$C$675,MATCH(D$4,'Country Engine'!$A$671:$A$675,0))</f>
        <v>-281.96076514693641</v>
      </c>
      <c r="E26" s="51">
        <f>INDEX('Country Engine'!$C$671:$C$675,MATCH(E$4,'Country Engine'!$A$671:$A$675,0))</f>
        <v>12.417255788229795</v>
      </c>
      <c r="F26" s="51">
        <f>INDEX('Country Engine'!$C$671:$C$675,MATCH(F$4,'Country Engine'!$A$671:$A$675,0))</f>
        <v>-460.96697688295785</v>
      </c>
      <c r="G26" s="51">
        <f>INDEX('Country Engine'!$C$671:$C$675,MATCH(G$4,'Country Engine'!$A$671:$A$675,0))</f>
        <v>1428.751357007483</v>
      </c>
    </row>
    <row r="27" spans="1:7" ht="15" customHeight="1" x14ac:dyDescent="0.2">
      <c r="A27" s="7" t="s">
        <v>2362</v>
      </c>
    </row>
    <row r="30" spans="1:7" ht="15" customHeight="1" x14ac:dyDescent="0.2">
      <c r="B30" s="4" t="s">
        <v>2363</v>
      </c>
      <c r="C30" s="48">
        <f>C26-C38</f>
        <v>2160.1208856622497</v>
      </c>
      <c r="D30" s="48">
        <f>D26-D38</f>
        <v>781.70402532472417</v>
      </c>
      <c r="E30" s="48">
        <f>E26-E38</f>
        <v>1144.8919963330309</v>
      </c>
      <c r="F30" s="48">
        <f>F26-F38</f>
        <v>672.77415231964414</v>
      </c>
      <c r="G30" s="48">
        <f>G26-G38</f>
        <v>2154.3142334025761</v>
      </c>
    </row>
    <row r="38" spans="1:7" ht="15" customHeight="1" x14ac:dyDescent="0.2">
      <c r="B38" s="2" t="s">
        <v>2364</v>
      </c>
      <c r="C38" s="51">
        <f>INDEX('Country Engine'!$D$671:$D$675,MATCH(C$4,'Country Engine'!$A$671:$A$675,0))</f>
        <v>-712.10953184647474</v>
      </c>
      <c r="D38" s="51">
        <f>INDEX('Country Engine'!$D$671:$D$675,MATCH(D$4,'Country Engine'!$A$671:$A$675,0))</f>
        <v>-1063.6647904716606</v>
      </c>
      <c r="E38" s="51">
        <f>INDEX('Country Engine'!$D$671:$D$675,MATCH(E$4,'Country Engine'!$A$671:$A$675,0))</f>
        <v>-1132.4747405448011</v>
      </c>
      <c r="F38" s="51">
        <f>INDEX('Country Engine'!$D$671:$D$675,MATCH(F$4,'Country Engine'!$A$671:$A$675,0))</f>
        <v>-1133.741129202602</v>
      </c>
      <c r="G38" s="51">
        <f>INDEX('Country Engine'!$D$671:$D$675,MATCH(G$4,'Country Engine'!$A$671:$A$675,0))</f>
        <v>-725.56287639509299</v>
      </c>
    </row>
    <row r="40" spans="1:7" ht="15" customHeight="1" x14ac:dyDescent="0.2">
      <c r="A40" s="7" t="s">
        <v>2365</v>
      </c>
    </row>
    <row r="41" spans="1:7" ht="15" customHeight="1" x14ac:dyDescent="0.2">
      <c r="B41" s="4" t="s">
        <v>2366</v>
      </c>
      <c r="C41" s="48">
        <f>IF(Assumptions!$B$7="Contracted",C26,C38)</f>
        <v>1448.0113538157748</v>
      </c>
      <c r="D41" s="48">
        <f>IF(Assumptions!$B$7="Contracted",D26,D38)</f>
        <v>-281.96076514693641</v>
      </c>
      <c r="E41" s="48">
        <f>IF(Assumptions!$B$7="Contracted",E26,E38)</f>
        <v>12.417255788229795</v>
      </c>
      <c r="F41" s="48">
        <f>IF(Assumptions!$B$7="Contracted",F26,F38)</f>
        <v>-460.96697688295785</v>
      </c>
      <c r="G41" s="48">
        <f>IF(Assumptions!$B$7="Contracted",G26,G38)</f>
        <v>1428.751357007483</v>
      </c>
    </row>
    <row r="42" spans="1:7" ht="15" customHeight="1" x14ac:dyDescent="0.2">
      <c r="B42" s="4" t="s">
        <v>2367</v>
      </c>
      <c r="C42" s="48">
        <f>C41-Comparison!C38</f>
        <v>0</v>
      </c>
      <c r="D42" s="48">
        <f>D41-Comparison!D38</f>
        <v>0</v>
      </c>
      <c r="E42" s="48">
        <f>E41-Comparison!E38</f>
        <v>0</v>
      </c>
      <c r="F42" s="48">
        <f>F41-Comparison!F38</f>
        <v>0</v>
      </c>
      <c r="G42" s="48">
        <f>G41-Comparison!G38</f>
        <v>0</v>
      </c>
    </row>
    <row r="43" spans="1:7" ht="15" customHeight="1" x14ac:dyDescent="0.2">
      <c r="B43" s="4" t="s">
        <v>2368</v>
      </c>
      <c r="C43" s="51">
        <f>SUMPRODUCT(ABS(C42:G42))</f>
        <v>0</v>
      </c>
    </row>
  </sheetData>
  <sheetProtection sheet="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548235"/>
  </sheetPr>
  <dimension ref="A1:F12"/>
  <sheetViews>
    <sheetView showGridLines="0" zoomScale="85" zoomScaleNormal="85" workbookViewId="0">
      <pane ySplit="2" topLeftCell="A3" activePane="bottomLeft" state="frozen"/>
      <selection activeCell="R16" sqref="R16"/>
      <selection pane="bottomLeft" activeCell="A2" sqref="A2"/>
    </sheetView>
  </sheetViews>
  <sheetFormatPr baseColWidth="10" defaultColWidth="8.6640625" defaultRowHeight="15" x14ac:dyDescent="0.2"/>
  <cols>
    <col min="1" max="1" width="4" customWidth="1"/>
    <col min="2" max="2" width="20" customWidth="1"/>
    <col min="3" max="6" width="15" customWidth="1"/>
  </cols>
  <sheetData>
    <row r="1" spans="1:6" ht="17.25" customHeight="1" x14ac:dyDescent="0.2">
      <c r="A1" s="1" t="s">
        <v>2369</v>
      </c>
      <c r="C1" s="2" t="str">
        <f>IF(Checks!$C$4&gt;0,"MODEL IN ERROR","checks OK")</f>
        <v>checks OK</v>
      </c>
    </row>
    <row r="2" spans="1:6" ht="15" customHeight="1" x14ac:dyDescent="0.2">
      <c r="A2" s="5" t="s">
        <v>2370</v>
      </c>
    </row>
    <row r="4" spans="1:6" ht="15" customHeight="1" x14ac:dyDescent="0.2">
      <c r="B4" s="11" t="s">
        <v>123</v>
      </c>
      <c r="C4" s="52" t="s">
        <v>2371</v>
      </c>
      <c r="D4" s="52" t="s">
        <v>2372</v>
      </c>
      <c r="E4" s="52" t="s">
        <v>2373</v>
      </c>
      <c r="F4" s="52" t="s">
        <v>2374</v>
      </c>
    </row>
    <row r="5" spans="1:6" ht="15" customHeight="1" x14ac:dyDescent="0.2">
      <c r="B5" s="8" t="str">
        <f>Comparison!F6</f>
        <v>Ireland</v>
      </c>
      <c r="C5" s="29">
        <f>Comparison!F9</f>
        <v>6</v>
      </c>
      <c r="D5" s="29">
        <f>GPU_life</f>
        <v>5</v>
      </c>
      <c r="E5" s="28">
        <f>Assumptions!$F$36-C5-D5</f>
        <v>14</v>
      </c>
      <c r="F5" s="28">
        <f>C5+D5</f>
        <v>11</v>
      </c>
    </row>
    <row r="6" spans="1:6" ht="15" customHeight="1" x14ac:dyDescent="0.2">
      <c r="B6" s="8" t="str">
        <f>Comparison!D6</f>
        <v>United States</v>
      </c>
      <c r="C6" s="29">
        <f>Comparison!D9</f>
        <v>4.5</v>
      </c>
      <c r="D6" s="29">
        <f>GPU_life</f>
        <v>5</v>
      </c>
      <c r="E6" s="28">
        <f>Assumptions!$F$36-C6-D6</f>
        <v>15.5</v>
      </c>
      <c r="F6" s="28">
        <f>C6+D6</f>
        <v>9.5</v>
      </c>
    </row>
    <row r="7" spans="1:6" ht="15" customHeight="1" x14ac:dyDescent="0.2">
      <c r="B7" s="8" t="str">
        <f>Comparison!E6</f>
        <v>India</v>
      </c>
      <c r="C7" s="29">
        <f>Comparison!E9</f>
        <v>3</v>
      </c>
      <c r="D7" s="29">
        <f>GPU_life</f>
        <v>5</v>
      </c>
      <c r="E7" s="28">
        <f>Assumptions!$F$36-C7-D7</f>
        <v>17</v>
      </c>
      <c r="F7" s="28">
        <f>C7+D7</f>
        <v>8</v>
      </c>
    </row>
    <row r="8" spans="1:6" ht="15" customHeight="1" x14ac:dyDescent="0.2">
      <c r="B8" s="8" t="str">
        <f>Comparison!G6</f>
        <v>Saudi Arabia</v>
      </c>
      <c r="C8" s="29">
        <f>Comparison!G9</f>
        <v>2</v>
      </c>
      <c r="D8" s="29">
        <f>GPU_life</f>
        <v>5</v>
      </c>
      <c r="E8" s="28">
        <f>Assumptions!$F$36-C8-D8</f>
        <v>18</v>
      </c>
      <c r="F8" s="28">
        <f>C8+D8</f>
        <v>7</v>
      </c>
    </row>
    <row r="9" spans="1:6" ht="15" customHeight="1" x14ac:dyDescent="0.2">
      <c r="B9" s="8" t="str">
        <f>Comparison!C6</f>
        <v>Norway</v>
      </c>
      <c r="C9" s="29">
        <f>Comparison!C9</f>
        <v>2</v>
      </c>
      <c r="D9" s="29">
        <f>GPU_life</f>
        <v>5</v>
      </c>
      <c r="E9" s="28">
        <f>Assumptions!$F$36-C9-D9</f>
        <v>18</v>
      </c>
      <c r="F9" s="28">
        <f>C9+D9</f>
        <v>7</v>
      </c>
    </row>
    <row r="11" spans="1:6" ht="15" customHeight="1" x14ac:dyDescent="0.2">
      <c r="B11" s="4" t="s">
        <v>2375</v>
      </c>
      <c r="C11" s="29">
        <f>Assumptions!$F$36</f>
        <v>25</v>
      </c>
    </row>
    <row r="12" spans="1:6" ht="15" customHeight="1" x14ac:dyDescent="0.2">
      <c r="B12" s="4" t="s">
        <v>2376</v>
      </c>
      <c r="C12" s="9">
        <f>--(MIN(E5:E9)&lt;0)</f>
        <v>0</v>
      </c>
    </row>
  </sheetData>
  <sheetProtection sheet="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548235"/>
  </sheetPr>
  <dimension ref="A1:H29"/>
  <sheetViews>
    <sheetView showGridLines="0" zoomScale="85" zoomScaleNormal="85" workbookViewId="0">
      <pane ySplit="2" topLeftCell="A3" activePane="bottomLeft" state="frozen"/>
      <selection activeCell="R16" sqref="R16"/>
      <selection pane="bottomLeft" activeCell="A2" sqref="A2"/>
    </sheetView>
  </sheetViews>
  <sheetFormatPr baseColWidth="10" defaultColWidth="8.6640625" defaultRowHeight="15" x14ac:dyDescent="0.2"/>
  <cols>
    <col min="1" max="1" width="4" customWidth="1"/>
    <col min="2" max="2" width="49.6640625" customWidth="1"/>
    <col min="3" max="6" width="30.83203125" customWidth="1"/>
    <col min="7" max="7" width="10" customWidth="1"/>
    <col min="8" max="8" width="110.83203125" customWidth="1"/>
  </cols>
  <sheetData>
    <row r="1" spans="1:8" ht="17.25" customHeight="1" x14ac:dyDescent="0.2">
      <c r="A1" s="14" t="s">
        <v>2499</v>
      </c>
      <c r="C1" s="9" t="str">
        <f>IF(Checks!$C$4&gt;0,"MODEL IN ERROR","checks OK")</f>
        <v>checks OK</v>
      </c>
    </row>
    <row r="2" spans="1:8" ht="15" customHeight="1" x14ac:dyDescent="0.2">
      <c r="A2" s="2" t="s">
        <v>2377</v>
      </c>
    </row>
    <row r="3" spans="1:8" ht="15" customHeight="1" x14ac:dyDescent="0.2"/>
    <row r="4" spans="1:8" ht="15" customHeight="1" x14ac:dyDescent="0.2">
      <c r="B4" s="44" t="s">
        <v>123</v>
      </c>
      <c r="C4" s="45" t="s">
        <v>2378</v>
      </c>
      <c r="D4" s="45" t="s">
        <v>2379</v>
      </c>
      <c r="E4" s="45" t="s">
        <v>2380</v>
      </c>
      <c r="F4" s="45" t="s">
        <v>2381</v>
      </c>
      <c r="G4" s="45" t="s">
        <v>2346</v>
      </c>
      <c r="H4" s="46" t="s">
        <v>2382</v>
      </c>
    </row>
    <row r="5" spans="1:8" ht="15" customHeight="1" x14ac:dyDescent="0.2">
      <c r="B5" s="8" t="str">
        <f>Assumptions!$B$81</f>
        <v>Norway</v>
      </c>
      <c r="C5" s="74">
        <f>MIN(Assumptions!$K$81,100)</f>
        <v>100</v>
      </c>
      <c r="D5" s="74">
        <f>ROUND((1-SUMPRODUCT(Assumptions!$C$81:$J$81,Assumptions!$C$81:$J$81)/10000)*100,1)</f>
        <v>21.5</v>
      </c>
      <c r="E5" s="74">
        <f>100-Assumptions!$D$81-Assumptions!$E$81</f>
        <v>90</v>
      </c>
      <c r="F5" s="75">
        <f>ROUND(AVERAGE(C5:E5),1)</f>
        <v>70.5</v>
      </c>
      <c r="G5" s="74">
        <f>RANK(F5,$F$5:$F$9)</f>
        <v>3</v>
      </c>
      <c r="H5" s="76" t="s">
        <v>2383</v>
      </c>
    </row>
    <row r="6" spans="1:8" ht="15" customHeight="1" x14ac:dyDescent="0.2">
      <c r="B6" s="8" t="str">
        <f>Assumptions!$B$82</f>
        <v>United States</v>
      </c>
      <c r="C6" s="74">
        <f>MIN(Assumptions!$K$82,100)</f>
        <v>100</v>
      </c>
      <c r="D6" s="74">
        <f>ROUND((1-SUMPRODUCT(Assumptions!$C$82:$J$82,Assumptions!$C$82:$J$82)/10000)*100,1)</f>
        <v>74.3</v>
      </c>
      <c r="E6" s="74">
        <f>100-Assumptions!$D$82-Assumptions!$E$82</f>
        <v>85</v>
      </c>
      <c r="F6" s="75">
        <f>ROUND(AVERAGE(C6:E6),1)</f>
        <v>86.4</v>
      </c>
      <c r="G6" s="74">
        <f>RANK(F6,$F$5:$F$9)</f>
        <v>1</v>
      </c>
      <c r="H6" s="76" t="s">
        <v>2384</v>
      </c>
    </row>
    <row r="7" spans="1:8" ht="15" customHeight="1" x14ac:dyDescent="0.2">
      <c r="B7" s="8" t="str">
        <f>Assumptions!$B$83</f>
        <v>India</v>
      </c>
      <c r="C7" s="74">
        <f>MIN(Assumptions!$K$83,100)</f>
        <v>60</v>
      </c>
      <c r="D7" s="74">
        <f>ROUND((1-SUMPRODUCT(Assumptions!$C$83:$J$83,Assumptions!$C$83:$J$83)/10000)*100,1)</f>
        <v>51.6</v>
      </c>
      <c r="E7" s="74">
        <f>100-Assumptions!$D$83-Assumptions!$E$83</f>
        <v>85</v>
      </c>
      <c r="F7" s="75">
        <f>ROUND(AVERAGE(C7:E7),1)</f>
        <v>65.5</v>
      </c>
      <c r="G7" s="74">
        <f>RANK(F7,$F$5:$F$9)</f>
        <v>4</v>
      </c>
      <c r="H7" s="76" t="s">
        <v>2385</v>
      </c>
    </row>
    <row r="8" spans="1:8" ht="15" customHeight="1" x14ac:dyDescent="0.2">
      <c r="B8" s="8" t="str">
        <f>Assumptions!$B$84</f>
        <v>Ireland</v>
      </c>
      <c r="C8" s="74">
        <f>MIN(Assumptions!$K$84,100)</f>
        <v>21</v>
      </c>
      <c r="D8" s="74">
        <f>ROUND((1-SUMPRODUCT(Assumptions!$C$84:$J$84,Assumptions!$C$84:$J$84)/10000)*100,1)</f>
        <v>70</v>
      </c>
      <c r="E8" s="74">
        <f>100-Assumptions!$D$84-Assumptions!$E$84</f>
        <v>63</v>
      </c>
      <c r="F8" s="75">
        <f>ROUND(AVERAGE(C8:E8),1)</f>
        <v>51.3</v>
      </c>
      <c r="G8" s="74">
        <f>RANK(F8,$F$5:$F$9)</f>
        <v>5</v>
      </c>
      <c r="H8" s="76" t="s">
        <v>2386</v>
      </c>
    </row>
    <row r="9" spans="1:8" ht="15" customHeight="1" x14ac:dyDescent="0.2">
      <c r="B9" s="8" t="str">
        <f>Assumptions!$B$85</f>
        <v>Saudi Arabia</v>
      </c>
      <c r="C9" s="74">
        <f>MIN(Assumptions!$K$85,100)</f>
        <v>100</v>
      </c>
      <c r="D9" s="74">
        <f>ROUND((1-SUMPRODUCT(Assumptions!$C$85:$J$85,Assumptions!$C$85:$J$85)/10000)*100,1)</f>
        <v>48</v>
      </c>
      <c r="E9" s="74">
        <f>100-Assumptions!$D$85-Assumptions!$E$85</f>
        <v>98</v>
      </c>
      <c r="F9" s="75">
        <f>ROUND(AVERAGE(C9:E9),1)</f>
        <v>82</v>
      </c>
      <c r="G9" s="74">
        <f>RANK(F9,$F$5:$F$9)</f>
        <v>2</v>
      </c>
      <c r="H9" s="76" t="s">
        <v>2387</v>
      </c>
    </row>
    <row r="10" spans="1:8" ht="15" customHeight="1" x14ac:dyDescent="0.2"/>
    <row r="11" spans="1:8" ht="15" customHeight="1" x14ac:dyDescent="0.2">
      <c r="A11" s="5" t="s">
        <v>2500</v>
      </c>
    </row>
    <row r="12" spans="1:8" ht="15" customHeight="1" x14ac:dyDescent="0.2">
      <c r="A12" s="23" t="s">
        <v>2388</v>
      </c>
    </row>
    <row r="13" spans="1:8" ht="15" customHeight="1" x14ac:dyDescent="0.2">
      <c r="A13" s="23" t="s">
        <v>2389</v>
      </c>
      <c r="B13" s="22"/>
      <c r="C13" s="5"/>
    </row>
    <row r="14" spans="1:8" ht="15" customHeight="1" x14ac:dyDescent="0.2">
      <c r="B14" s="22"/>
      <c r="C14" s="5"/>
    </row>
    <row r="15" spans="1:8" ht="15" customHeight="1" x14ac:dyDescent="0.2">
      <c r="A15" t="s">
        <v>2390</v>
      </c>
      <c r="B15" s="22"/>
      <c r="C15" s="5">
        <f>MAX(ABS(SUM(Assumptions!C81:J81)-100),ABS(SUM(Assumptions!C82:J82)-100),ABS(SUM(Assumptions!C83:J83)-100),ABS(SUM(Assumptions!C84:J84)-100),ABS(SUM(Assumptions!C85:J85)-100))</f>
        <v>0</v>
      </c>
      <c r="D15" s="9">
        <f>--(C15&gt;ErrorTolerance)</f>
        <v>0</v>
      </c>
    </row>
    <row r="16" spans="1:8" ht="15" customHeight="1" x14ac:dyDescent="0.2">
      <c r="B16" s="22"/>
      <c r="C16" s="5"/>
    </row>
    <row r="17" spans="1:3" ht="15" customHeight="1" x14ac:dyDescent="0.2">
      <c r="B17" s="22"/>
      <c r="C17" s="5"/>
    </row>
    <row r="18" spans="1:3" ht="27.75" customHeight="1" x14ac:dyDescent="0.2"/>
    <row r="19" spans="1:3" ht="48" customHeight="1" x14ac:dyDescent="0.2">
      <c r="A19" s="5"/>
    </row>
    <row r="20" spans="1:3" ht="27.75" customHeight="1" x14ac:dyDescent="0.2"/>
    <row r="21" spans="1:3" ht="25.5" customHeight="1" x14ac:dyDescent="0.2">
      <c r="B21" s="4"/>
      <c r="C21" s="9"/>
    </row>
    <row r="22" spans="1:3" ht="15" customHeight="1" x14ac:dyDescent="0.2"/>
    <row r="23" spans="1:3" ht="15" customHeight="1" x14ac:dyDescent="0.2"/>
    <row r="24" spans="1:3" ht="15" customHeight="1" x14ac:dyDescent="0.2"/>
    <row r="25" spans="1:3" ht="15" customHeight="1" x14ac:dyDescent="0.2"/>
    <row r="27" spans="1:3" ht="15" customHeight="1" x14ac:dyDescent="0.2"/>
    <row r="29" spans="1:3" ht="15" customHeight="1" x14ac:dyDescent="0.2"/>
  </sheetData>
  <sheetProtection sheet="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548235"/>
  </sheetPr>
  <dimension ref="A1:H36"/>
  <sheetViews>
    <sheetView showGridLines="0" zoomScale="85" zoomScaleNormal="85" workbookViewId="0">
      <pane ySplit="2" topLeftCell="A3" activePane="bottomLeft" state="frozen"/>
      <selection activeCell="R16" sqref="R16"/>
      <selection pane="bottomLeft" activeCell="A2" sqref="A2"/>
    </sheetView>
  </sheetViews>
  <sheetFormatPr baseColWidth="10" defaultColWidth="8.6640625" defaultRowHeight="15" x14ac:dyDescent="0.2"/>
  <cols>
    <col min="1" max="1" width="2" customWidth="1"/>
    <col min="2" max="2" width="15.33203125" customWidth="1"/>
    <col min="3" max="3" width="10.5" customWidth="1"/>
    <col min="4" max="8" width="13" customWidth="1"/>
  </cols>
  <sheetData>
    <row r="1" spans="1:8" ht="15.75" customHeight="1" x14ac:dyDescent="0.2">
      <c r="A1" s="14" t="s">
        <v>2391</v>
      </c>
      <c r="C1" s="9" t="str">
        <f>IF(Checks!$C$4&gt;0,"MODEL IN ERROR","checks OK")</f>
        <v>checks OK</v>
      </c>
    </row>
    <row r="2" spans="1:8" ht="30" customHeight="1" x14ac:dyDescent="0.2">
      <c r="A2" t="s">
        <v>2392</v>
      </c>
    </row>
    <row r="4" spans="1:8" ht="15" customHeight="1" x14ac:dyDescent="0.2">
      <c r="B4" s="77" t="s">
        <v>123</v>
      </c>
      <c r="C4" s="12" t="s">
        <v>2157</v>
      </c>
      <c r="D4" s="12" t="s">
        <v>2393</v>
      </c>
      <c r="E4" s="12" t="s">
        <v>2501</v>
      </c>
      <c r="F4" s="12" t="s">
        <v>2394</v>
      </c>
      <c r="G4" s="12" t="s">
        <v>2395</v>
      </c>
      <c r="H4" s="12" t="s">
        <v>2396</v>
      </c>
    </row>
    <row r="5" spans="1:8" ht="15" customHeight="1" x14ac:dyDescent="0.2">
      <c r="B5" s="81" t="str">
        <f>Comparison!C6</f>
        <v>Norway</v>
      </c>
      <c r="C5" s="24">
        <f>Comparison!C38</f>
        <v>1448.0113538157748</v>
      </c>
      <c r="D5" s="4">
        <f>RANK(C5,$C$5:$C$9,1)</f>
        <v>5</v>
      </c>
      <c r="E5" s="64">
        <f>'Energy Security'!F5</f>
        <v>70.5</v>
      </c>
      <c r="F5" s="4">
        <f>RANK(E5,$E$5:$E$9,0)</f>
        <v>3</v>
      </c>
      <c r="G5" s="42">
        <f>Comparison!C42</f>
        <v>28</v>
      </c>
      <c r="H5" s="4">
        <f>RANK(G5,$G$5:$G$9,0)</f>
        <v>5</v>
      </c>
    </row>
    <row r="6" spans="1:8" ht="15" customHeight="1" x14ac:dyDescent="0.2">
      <c r="B6" s="81" t="str">
        <f>Comparison!D6</f>
        <v>United States</v>
      </c>
      <c r="C6" s="24">
        <f>Comparison!D38</f>
        <v>-281.96076514693641</v>
      </c>
      <c r="D6" s="4">
        <f>RANK(C6,$C$5:$C$9,1)</f>
        <v>2</v>
      </c>
      <c r="E6" s="64">
        <f>'Energy Security'!F6</f>
        <v>86.4</v>
      </c>
      <c r="F6" s="4">
        <f>RANK(E6,$E$5:$E$9,0)</f>
        <v>1</v>
      </c>
      <c r="G6" s="42">
        <f>Comparison!D42</f>
        <v>384</v>
      </c>
      <c r="H6" s="4">
        <f>RANK(G6,$G$5:$G$9,0)</f>
        <v>3</v>
      </c>
    </row>
    <row r="7" spans="1:8" ht="15" customHeight="1" x14ac:dyDescent="0.2">
      <c r="B7" s="81" t="str">
        <f>Comparison!E6</f>
        <v>India</v>
      </c>
      <c r="C7" s="24">
        <f>Comparison!E38</f>
        <v>12.417255788229795</v>
      </c>
      <c r="D7" s="4">
        <f>RANK(C7,$C$5:$C$9,1)</f>
        <v>3</v>
      </c>
      <c r="E7" s="64">
        <f>'Energy Security'!F7</f>
        <v>65.5</v>
      </c>
      <c r="F7" s="4">
        <f>RANK(E7,$E$5:$E$9,0)</f>
        <v>4</v>
      </c>
      <c r="G7" s="42">
        <f>Comparison!E42</f>
        <v>670</v>
      </c>
      <c r="H7" s="4">
        <f>RANK(G7,$G$5:$G$9,0)</f>
        <v>1</v>
      </c>
    </row>
    <row r="8" spans="1:8" ht="15" customHeight="1" x14ac:dyDescent="0.2">
      <c r="B8" s="81" t="str">
        <f>Comparison!F6</f>
        <v>Ireland</v>
      </c>
      <c r="C8" s="24">
        <f>Comparison!F38</f>
        <v>-460.96697688295785</v>
      </c>
      <c r="D8" s="4">
        <f>RANK(C8,$C$5:$C$9,1)</f>
        <v>1</v>
      </c>
      <c r="E8" s="64">
        <f>'Energy Security'!F8</f>
        <v>51.3</v>
      </c>
      <c r="F8" s="4">
        <f>RANK(E8,$E$5:$E$9,0)</f>
        <v>5</v>
      </c>
      <c r="G8" s="42">
        <f>Comparison!F42</f>
        <v>290</v>
      </c>
      <c r="H8" s="4">
        <f>RANK(G8,$G$5:$G$9,0)</f>
        <v>4</v>
      </c>
    </row>
    <row r="9" spans="1:8" ht="15" customHeight="1" x14ac:dyDescent="0.2">
      <c r="B9" s="81" t="str">
        <f>Comparison!G6</f>
        <v>Saudi Arabia</v>
      </c>
      <c r="C9" s="24">
        <f>Comparison!G38</f>
        <v>1428.751357007483</v>
      </c>
      <c r="D9" s="4">
        <f>RANK(C9,$C$5:$C$9,1)</f>
        <v>4</v>
      </c>
      <c r="E9" s="64">
        <f>'Energy Security'!F9</f>
        <v>82</v>
      </c>
      <c r="F9" s="4">
        <f>RANK(E9,$E$5:$E$9,0)</f>
        <v>2</v>
      </c>
      <c r="G9" s="42">
        <f>Comparison!G42</f>
        <v>590</v>
      </c>
      <c r="H9" s="4">
        <f>RANK(G9,$G$5:$G$9,0)</f>
        <v>2</v>
      </c>
    </row>
    <row r="10" spans="1:8" ht="15" customHeight="1" x14ac:dyDescent="0.2">
      <c r="B10" s="79"/>
    </row>
    <row r="11" spans="1:8" ht="25.5" customHeight="1" x14ac:dyDescent="0.2">
      <c r="A11" s="20" t="s">
        <v>2397</v>
      </c>
      <c r="B11" s="79"/>
    </row>
    <row r="12" spans="1:8" ht="15" customHeight="1" x14ac:dyDescent="0.2">
      <c r="B12" s="77" t="s">
        <v>123</v>
      </c>
      <c r="C12" s="12" t="s">
        <v>2398</v>
      </c>
      <c r="D12" s="12" t="s">
        <v>2502</v>
      </c>
      <c r="E12" s="12" t="s">
        <v>2399</v>
      </c>
    </row>
    <row r="13" spans="1:8" ht="15" customHeight="1" x14ac:dyDescent="0.2">
      <c r="B13" s="78" t="str">
        <f>B5</f>
        <v>Norway</v>
      </c>
      <c r="C13" s="62">
        <f>(C5-MIN($C$5:$C$9))/(MAX($C$5:$C$9)-MIN($C$5:$C$9))*100</f>
        <v>100</v>
      </c>
      <c r="D13" s="62">
        <f>E5</f>
        <v>70.5</v>
      </c>
      <c r="E13" s="62">
        <f>(MAX($G$5:$G$9)-G5)/(MAX($G$5:$G$9)-MIN($G$5:$G$9))*100</f>
        <v>100</v>
      </c>
    </row>
    <row r="14" spans="1:8" ht="15" customHeight="1" x14ac:dyDescent="0.2">
      <c r="B14" s="78" t="str">
        <f>B6</f>
        <v>United States</v>
      </c>
      <c r="C14" s="62">
        <f>(C6-MIN($C$5:$C$9))/(MAX($C$5:$C$9)-MIN($C$5:$C$9))*100</f>
        <v>9.3770688151552157</v>
      </c>
      <c r="D14" s="62">
        <f>E6</f>
        <v>86.4</v>
      </c>
      <c r="E14" s="62">
        <f>(MAX($G$5:$G$9)-G6)/(MAX($G$5:$G$9)-MIN($G$5:$G$9))*100</f>
        <v>44.548286604361373</v>
      </c>
    </row>
    <row r="15" spans="1:8" ht="15" customHeight="1" x14ac:dyDescent="0.2">
      <c r="B15" s="78" t="str">
        <f>B7</f>
        <v>India</v>
      </c>
      <c r="C15" s="62">
        <f>(C7-MIN($C$5:$C$9))/(MAX($C$5:$C$9)-MIN($C$5:$C$9))*100</f>
        <v>24.797779265410387</v>
      </c>
      <c r="D15" s="62">
        <f>E7</f>
        <v>65.5</v>
      </c>
      <c r="E15" s="62">
        <f>(MAX($G$5:$G$9)-G7)/(MAX($G$5:$G$9)-MIN($G$5:$G$9))*100</f>
        <v>0</v>
      </c>
    </row>
    <row r="16" spans="1:8" ht="15" customHeight="1" x14ac:dyDescent="0.2">
      <c r="B16" s="78" t="str">
        <f>B8</f>
        <v>Ireland</v>
      </c>
      <c r="C16" s="62">
        <f>(C8-MIN($C$5:$C$9))/(MAX($C$5:$C$9)-MIN($C$5:$C$9))*100</f>
        <v>0</v>
      </c>
      <c r="D16" s="62">
        <f>E8</f>
        <v>51.3</v>
      </c>
      <c r="E16" s="62">
        <f>(MAX($G$5:$G$9)-G8)/(MAX($G$5:$G$9)-MIN($G$5:$G$9))*100</f>
        <v>59.190031152647968</v>
      </c>
    </row>
    <row r="17" spans="2:5" ht="15" customHeight="1" x14ac:dyDescent="0.2">
      <c r="B17" s="78" t="str">
        <f>B9</f>
        <v>Saudi Arabia</v>
      </c>
      <c r="C17" s="62">
        <f>(C9-MIN($C$5:$C$9))/(MAX($C$5:$C$9)-MIN($C$5:$C$9))*100</f>
        <v>98.991083528892531</v>
      </c>
      <c r="D17" s="62">
        <f>E9</f>
        <v>82</v>
      </c>
      <c r="E17" s="62">
        <f>(MAX($G$5:$G$9)-G9)/(MAX($G$5:$G$9)-MIN($G$5:$G$9))*100</f>
        <v>12.461059190031152</v>
      </c>
    </row>
    <row r="34" spans="1:3" ht="54" customHeight="1" x14ac:dyDescent="0.2">
      <c r="A34" s="20" t="s">
        <v>2400</v>
      </c>
    </row>
    <row r="36" spans="1:3" ht="15" customHeight="1" x14ac:dyDescent="0.2">
      <c r="A36" t="s">
        <v>2401</v>
      </c>
      <c r="C36" s="9">
        <f>--((SUM(D5:D9)&lt;&gt;15)+(SUM(F5:F9)&lt;&gt;15)+(SUM(H5:H9)&lt;&gt;15)&gt;0)</f>
        <v>0</v>
      </c>
    </row>
  </sheetData>
  <sheetProtection sheet="1" objects="1" scenarios="1"/>
  <conditionalFormatting sqref="D5:D9">
    <cfRule type="colorScale" priority="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5:F9">
    <cfRule type="colorScale" priority="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H5:H9">
    <cfRule type="colorScale" priority="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548235"/>
  </sheetPr>
  <dimension ref="A1:J40"/>
  <sheetViews>
    <sheetView showGridLines="0" zoomScale="85" zoomScaleNormal="85" workbookViewId="0">
      <pane ySplit="4" topLeftCell="A5" activePane="bottomLeft" state="frozen"/>
      <selection activeCell="R16" sqref="R16"/>
      <selection pane="bottomLeft"/>
    </sheetView>
  </sheetViews>
  <sheetFormatPr baseColWidth="10" defaultColWidth="8.83203125" defaultRowHeight="15" x14ac:dyDescent="0.2"/>
  <cols>
    <col min="1" max="1" width="2.5" customWidth="1"/>
    <col min="2" max="2" width="16" customWidth="1"/>
    <col min="3" max="3" width="13" customWidth="1"/>
    <col min="4" max="4" width="10" customWidth="1"/>
    <col min="5" max="5" width="16" customWidth="1"/>
    <col min="6" max="6" width="17" customWidth="1"/>
    <col min="7" max="7" width="13" customWidth="1"/>
    <col min="8" max="8" width="12" customWidth="1"/>
    <col min="9" max="10" width="13" customWidth="1"/>
  </cols>
  <sheetData>
    <row r="1" spans="1:10" ht="18" x14ac:dyDescent="0.2">
      <c r="A1" s="112" t="s">
        <v>2402</v>
      </c>
      <c r="C1" s="113" t="str">
        <f>IF(Checks!$C$4&gt;0,"MODEL IN ERROR","checks OK")</f>
        <v>checks OK</v>
      </c>
    </row>
    <row r="2" spans="1:10" x14ac:dyDescent="0.2">
      <c r="A2" s="114" t="s">
        <v>2403</v>
      </c>
    </row>
    <row r="4" spans="1:10" x14ac:dyDescent="0.2">
      <c r="A4" s="115" t="s">
        <v>2404</v>
      </c>
    </row>
    <row r="5" spans="1:10" x14ac:dyDescent="0.2">
      <c r="B5" s="116" t="s">
        <v>123</v>
      </c>
      <c r="C5" s="116" t="s">
        <v>1930</v>
      </c>
      <c r="D5" s="116" t="s">
        <v>1923</v>
      </c>
      <c r="E5" s="116" t="s">
        <v>1931</v>
      </c>
      <c r="F5" s="116" t="s">
        <v>2405</v>
      </c>
    </row>
    <row r="6" spans="1:10" x14ac:dyDescent="0.2">
      <c r="B6" s="117" t="str">
        <f>Comparison!C6</f>
        <v>Norway</v>
      </c>
      <c r="C6" s="118">
        <f>I16</f>
        <v>9.019607843137252E-2</v>
      </c>
      <c r="D6" s="118">
        <f>I24</f>
        <v>2.7320906432748527E-2</v>
      </c>
      <c r="E6" s="118">
        <f>I32</f>
        <v>8.0327865441678012E-3</v>
      </c>
      <c r="F6" s="119">
        <f>Assumptions!$C$76</f>
        <v>0.1</v>
      </c>
    </row>
    <row r="7" spans="1:10" x14ac:dyDescent="0.2">
      <c r="B7" s="117" t="str">
        <f>Comparison!D6</f>
        <v>United States</v>
      </c>
      <c r="C7" s="118">
        <f>I17</f>
        <v>0.16568627450980392</v>
      </c>
      <c r="D7" s="118">
        <f>I25</f>
        <v>5.1999999999999998E-2</v>
      </c>
      <c r="E7" s="118">
        <f>I33</f>
        <v>1.8134438448275846E-2</v>
      </c>
      <c r="F7" s="119">
        <f>Assumptions!$C$76</f>
        <v>0.1</v>
      </c>
    </row>
    <row r="8" spans="1:10" x14ac:dyDescent="0.2">
      <c r="B8" s="117" t="str">
        <f>Comparison!E6</f>
        <v>India</v>
      </c>
      <c r="C8" s="118">
        <f>I18</f>
        <v>0.1764705882352941</v>
      </c>
      <c r="D8" s="118">
        <f>I26</f>
        <v>8.1380208333333287E-2</v>
      </c>
      <c r="E8" s="118">
        <f>I34</f>
        <v>2.7413019577298338E-2</v>
      </c>
      <c r="F8" s="119">
        <f>Assumptions!$C$76</f>
        <v>0.1</v>
      </c>
    </row>
    <row r="9" spans="1:10" x14ac:dyDescent="0.2">
      <c r="B9" s="117" t="str">
        <f>Comparison!F6</f>
        <v>Ireland</v>
      </c>
      <c r="C9" s="118">
        <f>I19</f>
        <v>0.21176470588235294</v>
      </c>
      <c r="D9" s="118">
        <f>I27</f>
        <v>0.12</v>
      </c>
      <c r="E9" s="118">
        <f>I35</f>
        <v>5.7418720753897146E-2</v>
      </c>
      <c r="F9" s="119">
        <f>Assumptions!$C$76</f>
        <v>0.1</v>
      </c>
    </row>
    <row r="10" spans="1:10" x14ac:dyDescent="0.2">
      <c r="B10" s="117" t="str">
        <f>Comparison!G6</f>
        <v>Saudi Arabia</v>
      </c>
      <c r="C10" s="118">
        <f>I20</f>
        <v>9.240196078431373E-2</v>
      </c>
      <c r="D10" s="118">
        <f>I28</f>
        <v>3.1798245614035076E-2</v>
      </c>
      <c r="E10" s="118">
        <f>I36</f>
        <v>1.0128296077428968E-2</v>
      </c>
      <c r="F10" s="119">
        <f>Assumptions!$C$76</f>
        <v>0.1</v>
      </c>
    </row>
    <row r="11" spans="1:10" x14ac:dyDescent="0.2">
      <c r="B11" s="120" t="s">
        <v>2406</v>
      </c>
      <c r="C11" s="113">
        <f>IF(Assumptions!$B$4&lt;&gt;"Base",0,--(MAX(ABS(D6-'Revenue Mix'!C20),ABS(D7-'Revenue Mix'!D20),ABS(D8-'Revenue Mix'!E20),ABS(D9-'Revenue Mix'!F20),ABS(D10-'Revenue Mix'!G20))&gt;0.001))</f>
        <v>0</v>
      </c>
    </row>
    <row r="13" spans="1:10" x14ac:dyDescent="0.2">
      <c r="A13" s="115" t="s">
        <v>2407</v>
      </c>
    </row>
    <row r="14" spans="1:10" x14ac:dyDescent="0.2">
      <c r="A14" s="121" t="s">
        <v>2408</v>
      </c>
    </row>
    <row r="15" spans="1:10" x14ac:dyDescent="0.2">
      <c r="B15" s="116" t="s">
        <v>123</v>
      </c>
      <c r="C15" s="116" t="s">
        <v>2409</v>
      </c>
      <c r="D15" s="116" t="s">
        <v>2410</v>
      </c>
      <c r="E15" s="116" t="s">
        <v>2411</v>
      </c>
      <c r="F15" s="116" t="s">
        <v>2412</v>
      </c>
      <c r="G15" s="116" t="s">
        <v>2413</v>
      </c>
      <c r="H15" s="116" t="s">
        <v>2414</v>
      </c>
      <c r="I15" s="116" t="s">
        <v>2415</v>
      </c>
      <c r="J15" s="116" t="s">
        <v>2416</v>
      </c>
    </row>
    <row r="16" spans="1:10" x14ac:dyDescent="0.2">
      <c r="B16" s="117" t="str">
        <f>Comparison!C6</f>
        <v>Norway</v>
      </c>
      <c r="C16" s="122">
        <f>INDEX(Assumptions!$C$50:$E$54,MATCH($B16,Assumptions!$B$50:$B$54,0),1)</f>
        <v>80</v>
      </c>
      <c r="D16" s="123">
        <f>INDEX(Assumptions!$M$50:$M$54,MATCH($B16,Assumptions!$B$50:$B$54,0),1)</f>
        <v>1.1499999999999999</v>
      </c>
      <c r="E16" s="124">
        <f>C16*D16</f>
        <v>92</v>
      </c>
      <c r="F16" s="125">
        <f>MAX(Assumptions!$D$66,Assumptions!$D$14*(1-Assumptions!$D$65)^INDEX(Assumptions!$F$50:$H$54,MATCH($B16,Assumptions!$B$50:$B$54,0),1))</f>
        <v>1.7</v>
      </c>
      <c r="G16" s="126">
        <f>IT_load_MW*D16*Hours_per_year*C16*Paid_occupancy/Unit_scale</f>
        <v>70.92095999999998</v>
      </c>
      <c r="H16" s="126">
        <f>IT_load_MW*Assumptions!$D$12*Hours_per_year*F16*Paid_occupancy/Unit_scale</f>
        <v>786.29759999999999</v>
      </c>
      <c r="I16" s="118">
        <f>G16/H16</f>
        <v>9.019607843137252E-2</v>
      </c>
      <c r="J16" s="127" t="str">
        <f>IF(I16&lt;Assumptions!$C$76,"thin",IF(I16&lt;Assumptions!$C$77,"material","power-heavy"))</f>
        <v>thin</v>
      </c>
    </row>
    <row r="17" spans="1:10" x14ac:dyDescent="0.2">
      <c r="B17" s="117" t="str">
        <f>Comparison!D6</f>
        <v>United States</v>
      </c>
      <c r="C17" s="122">
        <f>INDEX(Assumptions!$C$50:$E$54,MATCH($B17,Assumptions!$B$50:$B$54,0),1)</f>
        <v>130</v>
      </c>
      <c r="D17" s="123">
        <f>INDEX(Assumptions!$M$50:$M$54,MATCH($B17,Assumptions!$B$50:$B$54,0),1)</f>
        <v>1.3</v>
      </c>
      <c r="E17" s="124">
        <f>C17*D17</f>
        <v>169</v>
      </c>
      <c r="F17" s="125">
        <f>MAX(Assumptions!$D$66,Assumptions!$D$14*(1-Assumptions!$D$65)^INDEX(Assumptions!$F$50:$H$54,MATCH($B17,Assumptions!$B$50:$B$54,0),1))</f>
        <v>1.7</v>
      </c>
      <c r="G17" s="126">
        <f>IT_load_MW*D17*Hours_per_year*C17*Paid_occupancy/Unit_scale</f>
        <v>130.27871999999999</v>
      </c>
      <c r="H17" s="126">
        <f>IT_load_MW*Assumptions!$D$12*Hours_per_year*F17*Paid_occupancy/Unit_scale</f>
        <v>786.29759999999999</v>
      </c>
      <c r="I17" s="118">
        <f>G17/H17</f>
        <v>0.16568627450980392</v>
      </c>
      <c r="J17" s="127" t="str">
        <f>IF(I17&lt;Assumptions!$C$76,"thin",IF(I17&lt;Assumptions!$C$77,"material","power-heavy"))</f>
        <v>material</v>
      </c>
    </row>
    <row r="18" spans="1:10" x14ac:dyDescent="0.2">
      <c r="B18" s="117" t="str">
        <f>Comparison!E6</f>
        <v>India</v>
      </c>
      <c r="C18" s="122">
        <f>INDEX(Assumptions!$C$50:$E$54,MATCH($B18,Assumptions!$B$50:$B$54,0),1)</f>
        <v>120</v>
      </c>
      <c r="D18" s="123">
        <f>INDEX(Assumptions!$M$50:$M$54,MATCH($B18,Assumptions!$B$50:$B$54,0),1)</f>
        <v>1.5</v>
      </c>
      <c r="E18" s="124">
        <f>C18*D18</f>
        <v>180</v>
      </c>
      <c r="F18" s="125">
        <f>MAX(Assumptions!$D$66,Assumptions!$D$14*(1-Assumptions!$D$65)^INDEX(Assumptions!$F$50:$H$54,MATCH($B18,Assumptions!$B$50:$B$54,0),1))</f>
        <v>1.7</v>
      </c>
      <c r="G18" s="126">
        <f>IT_load_MW*D18*Hours_per_year*C18*Paid_occupancy/Unit_scale</f>
        <v>138.75839999999999</v>
      </c>
      <c r="H18" s="126">
        <f>IT_load_MW*Assumptions!$D$12*Hours_per_year*F18*Paid_occupancy/Unit_scale</f>
        <v>786.29759999999999</v>
      </c>
      <c r="I18" s="118">
        <f>G18/H18</f>
        <v>0.1764705882352941</v>
      </c>
      <c r="J18" s="127" t="str">
        <f>IF(I18&lt;Assumptions!$C$76,"thin",IF(I18&lt;Assumptions!$C$77,"material","power-heavy"))</f>
        <v>material</v>
      </c>
    </row>
    <row r="19" spans="1:10" x14ac:dyDescent="0.2">
      <c r="B19" s="117" t="str">
        <f>Comparison!F6</f>
        <v>Ireland</v>
      </c>
      <c r="C19" s="122">
        <f>INDEX(Assumptions!$C$50:$E$54,MATCH($B19,Assumptions!$B$50:$B$54,0),1)</f>
        <v>180</v>
      </c>
      <c r="D19" s="123">
        <f>INDEX(Assumptions!$M$50:$M$54,MATCH($B19,Assumptions!$B$50:$B$54,0),1)</f>
        <v>1.2</v>
      </c>
      <c r="E19" s="124">
        <f>C19*D19</f>
        <v>216</v>
      </c>
      <c r="F19" s="125">
        <f>MAX(Assumptions!$D$66,Assumptions!$D$14*(1-Assumptions!$D$65)^INDEX(Assumptions!$F$50:$H$54,MATCH($B19,Assumptions!$B$50:$B$54,0),1))</f>
        <v>1.7</v>
      </c>
      <c r="G19" s="126">
        <f>IT_load_MW*D19*Hours_per_year*C19*Paid_occupancy/Unit_scale</f>
        <v>166.51007999999999</v>
      </c>
      <c r="H19" s="126">
        <f>IT_load_MW*Assumptions!$D$12*Hours_per_year*F19*Paid_occupancy/Unit_scale</f>
        <v>786.29759999999999</v>
      </c>
      <c r="I19" s="118">
        <f>G19/H19</f>
        <v>0.21176470588235294</v>
      </c>
      <c r="J19" s="127" t="str">
        <f>IF(I19&lt;Assumptions!$C$76,"thin",IF(I19&lt;Assumptions!$C$77,"material","power-heavy"))</f>
        <v>power-heavy</v>
      </c>
    </row>
    <row r="20" spans="1:10" x14ac:dyDescent="0.2">
      <c r="B20" s="117" t="str">
        <f>Comparison!G6</f>
        <v>Saudi Arabia</v>
      </c>
      <c r="C20" s="122">
        <f>INDEX(Assumptions!$C$50:$E$54,MATCH($B20,Assumptions!$B$50:$B$54,0),1)</f>
        <v>65</v>
      </c>
      <c r="D20" s="123">
        <f>INDEX(Assumptions!$M$50:$M$54,MATCH($B20,Assumptions!$B$50:$B$54,0),1)</f>
        <v>1.45</v>
      </c>
      <c r="E20" s="124">
        <f>C20*D20</f>
        <v>94.25</v>
      </c>
      <c r="F20" s="125">
        <f>MAX(Assumptions!$D$66,Assumptions!$D$14*(1-Assumptions!$D$65)^INDEX(Assumptions!$F$50:$H$54,MATCH($B20,Assumptions!$B$50:$B$54,0),1))</f>
        <v>1.7</v>
      </c>
      <c r="G20" s="126">
        <f>IT_load_MW*D20*Hours_per_year*C20*Paid_occupancy/Unit_scale</f>
        <v>72.655439999999999</v>
      </c>
      <c r="H20" s="126">
        <f>IT_load_MW*Assumptions!$D$12*Hours_per_year*F20*Paid_occupancy/Unit_scale</f>
        <v>786.29759999999999</v>
      </c>
      <c r="I20" s="118">
        <f>G20/H20</f>
        <v>9.240196078431373E-2</v>
      </c>
      <c r="J20" s="127" t="str">
        <f>IF(I20&lt;Assumptions!$C$76,"thin",IF(I20&lt;Assumptions!$C$77,"material","power-heavy"))</f>
        <v>thin</v>
      </c>
    </row>
    <row r="22" spans="1:10" x14ac:dyDescent="0.2">
      <c r="A22" s="121" t="s">
        <v>2417</v>
      </c>
    </row>
    <row r="23" spans="1:10" x14ac:dyDescent="0.2">
      <c r="B23" s="116" t="s">
        <v>123</v>
      </c>
      <c r="C23" s="116" t="s">
        <v>2409</v>
      </c>
      <c r="D23" s="116" t="s">
        <v>2410</v>
      </c>
      <c r="E23" s="116" t="s">
        <v>2411</v>
      </c>
      <c r="F23" s="116" t="s">
        <v>2412</v>
      </c>
      <c r="G23" s="116" t="s">
        <v>2413</v>
      </c>
      <c r="H23" s="116" t="s">
        <v>2414</v>
      </c>
      <c r="I23" s="116" t="s">
        <v>2415</v>
      </c>
      <c r="J23" s="116" t="s">
        <v>2416</v>
      </c>
    </row>
    <row r="24" spans="1:10" x14ac:dyDescent="0.2">
      <c r="B24" s="117" t="str">
        <f>Comparison!C6</f>
        <v>Norway</v>
      </c>
      <c r="C24" s="122">
        <f>INDEX(Assumptions!$C$50:$E$54,MATCH($B24,Assumptions!$B$50:$B$54,0),2)</f>
        <v>52</v>
      </c>
      <c r="D24" s="123">
        <f>INDEX(Assumptions!$M$50:$M$54,MATCH($B24,Assumptions!$B$50:$B$54,0),1)</f>
        <v>1.1499999999999999</v>
      </c>
      <c r="E24" s="124">
        <f>C24*D24</f>
        <v>59.8</v>
      </c>
      <c r="F24" s="125">
        <f>MAX(Assumptions!$E$66,Assumptions!$E$14*(1-Assumptions!$E$65)^INDEX(Assumptions!$F$50:$H$54,MATCH($B24,Assumptions!$B$50:$B$54,0),2))</f>
        <v>3.648000000000001</v>
      </c>
      <c r="G24" s="126">
        <f>IT_load_MW*D24*Hours_per_year*C24*Paid_occupancy/Unit_scale</f>
        <v>46.098623999999994</v>
      </c>
      <c r="H24" s="126">
        <f>IT_load_MW*Assumptions!$E$12*Hours_per_year*F24*Paid_occupancy/Unit_scale</f>
        <v>1687.3021440000005</v>
      </c>
      <c r="I24" s="118">
        <f>G24/H24</f>
        <v>2.7320906432748527E-2</v>
      </c>
      <c r="J24" s="127" t="str">
        <f>IF(I24&lt;Assumptions!$C$76,"thin",IF(I24&lt;Assumptions!$C$77,"material","power-heavy"))</f>
        <v>thin</v>
      </c>
    </row>
    <row r="25" spans="1:10" x14ac:dyDescent="0.2">
      <c r="B25" s="117" t="str">
        <f>Comparison!D6</f>
        <v>United States</v>
      </c>
      <c r="C25" s="122">
        <f>INDEX(Assumptions!$C$50:$E$54,MATCH($B25,Assumptions!$B$50:$B$54,0),2)</f>
        <v>60</v>
      </c>
      <c r="D25" s="123">
        <f>INDEX(Assumptions!$M$50:$M$54,MATCH($B25,Assumptions!$B$50:$B$54,0),1)</f>
        <v>1.3</v>
      </c>
      <c r="E25" s="124">
        <f>C25*D25</f>
        <v>78</v>
      </c>
      <c r="F25" s="125">
        <f>MAX(Assumptions!$E$66,Assumptions!$E$14*(1-Assumptions!$E$65)^INDEX(Assumptions!$F$50:$H$54,MATCH($B25,Assumptions!$B$50:$B$54,0),2))</f>
        <v>2.5</v>
      </c>
      <c r="G25" s="126">
        <f>IT_load_MW*D25*Hours_per_year*C25*Paid_occupancy/Unit_scale</f>
        <v>60.128639999999997</v>
      </c>
      <c r="H25" s="126">
        <f>IT_load_MW*Assumptions!$E$12*Hours_per_year*F25*Paid_occupancy/Unit_scale</f>
        <v>1156.32</v>
      </c>
      <c r="I25" s="118">
        <f>G25/H25</f>
        <v>5.1999999999999998E-2</v>
      </c>
      <c r="J25" s="127" t="str">
        <f>IF(I25&lt;Assumptions!$C$76,"thin",IF(I25&lt;Assumptions!$C$77,"material","power-heavy"))</f>
        <v>thin</v>
      </c>
    </row>
    <row r="26" spans="1:10" x14ac:dyDescent="0.2">
      <c r="B26" s="117" t="str">
        <f>Comparison!E6</f>
        <v>India</v>
      </c>
      <c r="C26" s="122">
        <f>INDEX(Assumptions!$C$50:$E$54,MATCH($B26,Assumptions!$B$50:$B$54,0),2)</f>
        <v>95</v>
      </c>
      <c r="D26" s="123">
        <f>INDEX(Assumptions!$M$50:$M$54,MATCH($B26,Assumptions!$B$50:$B$54,0),1)</f>
        <v>1.5</v>
      </c>
      <c r="E26" s="124">
        <f>C26*D26</f>
        <v>142.5</v>
      </c>
      <c r="F26" s="125">
        <f>MAX(Assumptions!$E$66,Assumptions!$E$14*(1-Assumptions!$E$65)^INDEX(Assumptions!$F$50:$H$54,MATCH($B26,Assumptions!$B$50:$B$54,0),2))</f>
        <v>2.918400000000001</v>
      </c>
      <c r="G26" s="126">
        <f>IT_load_MW*D26*Hours_per_year*C26*Paid_occupancy/Unit_scale</f>
        <v>109.85039999999999</v>
      </c>
      <c r="H26" s="126">
        <f>IT_load_MW*Assumptions!$E$12*Hours_per_year*F26*Paid_occupancy/Unit_scale</f>
        <v>1349.8417152000006</v>
      </c>
      <c r="I26" s="118">
        <f>G26/H26</f>
        <v>8.1380208333333287E-2</v>
      </c>
      <c r="J26" s="127" t="str">
        <f>IF(I26&lt;Assumptions!$C$76,"thin",IF(I26&lt;Assumptions!$C$77,"material","power-heavy"))</f>
        <v>thin</v>
      </c>
    </row>
    <row r="27" spans="1:10" x14ac:dyDescent="0.2">
      <c r="B27" s="117" t="str">
        <f>Comparison!F6</f>
        <v>Ireland</v>
      </c>
      <c r="C27" s="122">
        <f>INDEX(Assumptions!$C$50:$E$54,MATCH($B27,Assumptions!$B$50:$B$54,0),2)</f>
        <v>150</v>
      </c>
      <c r="D27" s="123">
        <f>INDEX(Assumptions!$M$50:$M$54,MATCH($B27,Assumptions!$B$50:$B$54,0),1)</f>
        <v>1.2</v>
      </c>
      <c r="E27" s="124">
        <f>C27*D27</f>
        <v>180</v>
      </c>
      <c r="F27" s="125">
        <f>MAX(Assumptions!$E$66,Assumptions!$E$14*(1-Assumptions!$E$65)^INDEX(Assumptions!$F$50:$H$54,MATCH($B27,Assumptions!$B$50:$B$54,0),2))</f>
        <v>2.5</v>
      </c>
      <c r="G27" s="126">
        <f>IT_load_MW*D27*Hours_per_year*C27*Paid_occupancy/Unit_scale</f>
        <v>138.75839999999999</v>
      </c>
      <c r="H27" s="126">
        <f>IT_load_MW*Assumptions!$E$12*Hours_per_year*F27*Paid_occupancy/Unit_scale</f>
        <v>1156.32</v>
      </c>
      <c r="I27" s="118">
        <f>G27/H27</f>
        <v>0.12</v>
      </c>
      <c r="J27" s="127" t="str">
        <f>IF(I27&lt;Assumptions!$C$76,"thin",IF(I27&lt;Assumptions!$C$77,"material","power-heavy"))</f>
        <v>material</v>
      </c>
    </row>
    <row r="28" spans="1:10" x14ac:dyDescent="0.2">
      <c r="B28" s="117" t="str">
        <f>Comparison!G6</f>
        <v>Saudi Arabia</v>
      </c>
      <c r="C28" s="122">
        <f>INDEX(Assumptions!$C$50:$E$54,MATCH($B28,Assumptions!$B$50:$B$54,0),2)</f>
        <v>48</v>
      </c>
      <c r="D28" s="123">
        <f>INDEX(Assumptions!$M$50:$M$54,MATCH($B28,Assumptions!$B$50:$B$54,0),1)</f>
        <v>1.45</v>
      </c>
      <c r="E28" s="124">
        <f>C28*D28</f>
        <v>69.599999999999994</v>
      </c>
      <c r="F28" s="125">
        <f>MAX(Assumptions!$E$66,Assumptions!$E$14*(1-Assumptions!$E$65)^INDEX(Assumptions!$F$50:$H$54,MATCH($B28,Assumptions!$B$50:$B$54,0),2))</f>
        <v>3.648000000000001</v>
      </c>
      <c r="G28" s="126">
        <f>IT_load_MW*D28*Hours_per_year*C28*Paid_occupancy/Unit_scale</f>
        <v>53.653247999999998</v>
      </c>
      <c r="H28" s="126">
        <f>IT_load_MW*Assumptions!$E$12*Hours_per_year*F28*Paid_occupancy/Unit_scale</f>
        <v>1687.3021440000005</v>
      </c>
      <c r="I28" s="118">
        <f>G28/H28</f>
        <v>3.1798245614035076E-2</v>
      </c>
      <c r="J28" s="127" t="str">
        <f>IF(I28&lt;Assumptions!$C$76,"thin",IF(I28&lt;Assumptions!$C$77,"material","power-heavy"))</f>
        <v>thin</v>
      </c>
    </row>
    <row r="30" spans="1:10" x14ac:dyDescent="0.2">
      <c r="A30" s="121" t="s">
        <v>2418</v>
      </c>
    </row>
    <row r="31" spans="1:10" x14ac:dyDescent="0.2">
      <c r="B31" s="116" t="s">
        <v>123</v>
      </c>
      <c r="C31" s="116" t="s">
        <v>2409</v>
      </c>
      <c r="D31" s="116" t="s">
        <v>2410</v>
      </c>
      <c r="E31" s="116" t="s">
        <v>2411</v>
      </c>
      <c r="F31" s="116" t="s">
        <v>2412</v>
      </c>
      <c r="G31" s="116" t="s">
        <v>2413</v>
      </c>
      <c r="H31" s="116" t="s">
        <v>2414</v>
      </c>
      <c r="I31" s="116" t="s">
        <v>2415</v>
      </c>
      <c r="J31" s="116" t="s">
        <v>2416</v>
      </c>
    </row>
    <row r="32" spans="1:10" x14ac:dyDescent="0.2">
      <c r="B32" s="117" t="str">
        <f>Comparison!C6</f>
        <v>Norway</v>
      </c>
      <c r="C32" s="122">
        <f>INDEX(Assumptions!$C$50:$E$54,MATCH($B32,Assumptions!$B$50:$B$54,0),3)</f>
        <v>30</v>
      </c>
      <c r="D32" s="123">
        <f>INDEX(Assumptions!$M$50:$M$54,MATCH($B32,Assumptions!$B$50:$B$54,0),1)</f>
        <v>1.1499999999999999</v>
      </c>
      <c r="E32" s="124">
        <f>C32*D32</f>
        <v>34.5</v>
      </c>
      <c r="F32" s="125">
        <f>MAX(Assumptions!$F$66,Assumptions!$F$14*(1-Assumptions!$F$65)^INDEX(Assumptions!$F$50:$H$54,MATCH($B32,Assumptions!$B$50:$B$54,0),3))</f>
        <v>7.1581635692470655</v>
      </c>
      <c r="G32" s="126">
        <f>IT_load_MW*D32*Hours_per_year*C32*Paid_occupancy/Unit_scale</f>
        <v>26.595359999999996</v>
      </c>
      <c r="H32" s="126">
        <f>IT_load_MW*Assumptions!$F$12*Hours_per_year*F32*Paid_occupancy/Unit_scale</f>
        <v>3310.851079356707</v>
      </c>
      <c r="I32" s="118">
        <f>G32/H32</f>
        <v>8.0327865441678012E-3</v>
      </c>
      <c r="J32" s="127" t="str">
        <f>IF(I32&lt;Assumptions!$C$76,"thin",IF(I32&lt;Assumptions!$C$77,"material","power-heavy"))</f>
        <v>thin</v>
      </c>
    </row>
    <row r="33" spans="1:10" x14ac:dyDescent="0.2">
      <c r="B33" s="117" t="str">
        <f>Comparison!D6</f>
        <v>United States</v>
      </c>
      <c r="C33" s="122">
        <f>INDEX(Assumptions!$C$50:$E$54,MATCH($B33,Assumptions!$B$50:$B$54,0),3)</f>
        <v>45</v>
      </c>
      <c r="D33" s="123">
        <f>INDEX(Assumptions!$M$50:$M$54,MATCH($B33,Assumptions!$B$50:$B$54,0),1)</f>
        <v>1.3</v>
      </c>
      <c r="E33" s="124">
        <f>C33*D33</f>
        <v>58.5</v>
      </c>
      <c r="F33" s="125">
        <f>MAX(Assumptions!$F$66,Assumptions!$F$14*(1-Assumptions!$F$65)^INDEX(Assumptions!$F$50:$H$54,MATCH($B33,Assumptions!$B$50:$B$54,0),3))</f>
        <v>5.3765105701009404</v>
      </c>
      <c r="G33" s="126">
        <f>IT_load_MW*D33*Hours_per_year*C33*Paid_occupancy/Unit_scale</f>
        <v>45.09648</v>
      </c>
      <c r="H33" s="126">
        <f>IT_load_MW*Assumptions!$F$12*Hours_per_year*F33*Paid_occupancy/Unit_scale</f>
        <v>2486.786680967648</v>
      </c>
      <c r="I33" s="118">
        <f>G33/H33</f>
        <v>1.8134438448275846E-2</v>
      </c>
      <c r="J33" s="127" t="str">
        <f>IF(I33&lt;Assumptions!$C$76,"thin",IF(I33&lt;Assumptions!$C$77,"material","power-heavy"))</f>
        <v>thin</v>
      </c>
    </row>
    <row r="34" spans="1:10" x14ac:dyDescent="0.2">
      <c r="B34" s="117" t="str">
        <f>Comparison!E6</f>
        <v>India</v>
      </c>
      <c r="C34" s="122">
        <f>INDEX(Assumptions!$C$50:$E$54,MATCH($B34,Assumptions!$B$50:$B$54,0),3)</f>
        <v>70</v>
      </c>
      <c r="D34" s="123">
        <f>INDEX(Assumptions!$M$50:$M$54,MATCH($B34,Assumptions!$B$50:$B$54,0),1)</f>
        <v>1.5</v>
      </c>
      <c r="E34" s="124">
        <f>C34*D34</f>
        <v>105</v>
      </c>
      <c r="F34" s="125">
        <f>MAX(Assumptions!$F$66,Assumptions!$F$14*(1-Assumptions!$F$65)^INDEX(Assumptions!$F$50:$H$54,MATCH($B34,Assumptions!$B$50:$B$54,0),3))</f>
        <v>6.3838279291539086</v>
      </c>
      <c r="G34" s="126">
        <f>IT_load_MW*D34*Hours_per_year*C34*Paid_occupancy/Unit_scale</f>
        <v>80.942400000000006</v>
      </c>
      <c r="H34" s="126">
        <f>IT_load_MW*Assumptions!$F$12*Hours_per_year*F34*Paid_occupancy/Unit_scale</f>
        <v>2952.6991644156992</v>
      </c>
      <c r="I34" s="118">
        <f>G34/H34</f>
        <v>2.7413019577298338E-2</v>
      </c>
      <c r="J34" s="127" t="str">
        <f>IF(I34&lt;Assumptions!$C$76,"thin",IF(I34&lt;Assumptions!$C$77,"material","power-heavy"))</f>
        <v>thin</v>
      </c>
    </row>
    <row r="35" spans="1:10" x14ac:dyDescent="0.2">
      <c r="B35" s="117" t="str">
        <f>Comparison!F6</f>
        <v>Ireland</v>
      </c>
      <c r="C35" s="122">
        <f>INDEX(Assumptions!$C$50:$E$54,MATCH($B35,Assumptions!$B$50:$B$54,0),3)</f>
        <v>130</v>
      </c>
      <c r="D35" s="123">
        <f>INDEX(Assumptions!$M$50:$M$54,MATCH($B35,Assumptions!$B$50:$B$54,0),1)</f>
        <v>1.2</v>
      </c>
      <c r="E35" s="124">
        <f>C35*D35</f>
        <v>156</v>
      </c>
      <c r="F35" s="125">
        <f>MAX(Assumptions!$F$66,Assumptions!$F$14*(1-Assumptions!$F$65)^INDEX(Assumptions!$F$50:$H$54,MATCH($B35,Assumptions!$B$50:$B$54,0),3))</f>
        <v>4.5281398921161644</v>
      </c>
      <c r="G35" s="126">
        <f>IT_load_MW*D35*Hours_per_year*C35*Paid_occupancy/Unit_scale</f>
        <v>120.25727999999999</v>
      </c>
      <c r="H35" s="126">
        <f>IT_load_MW*Assumptions!$F$12*Hours_per_year*F35*Paid_occupancy/Unit_scale</f>
        <v>2094.3914880207053</v>
      </c>
      <c r="I35" s="118">
        <f>G35/H35</f>
        <v>5.7418720753897146E-2</v>
      </c>
      <c r="J35" s="127" t="str">
        <f>IF(I35&lt;Assumptions!$C$76,"thin",IF(I35&lt;Assumptions!$C$77,"material","power-heavy"))</f>
        <v>thin</v>
      </c>
    </row>
    <row r="36" spans="1:10" x14ac:dyDescent="0.2">
      <c r="B36" s="117" t="str">
        <f>Comparison!G6</f>
        <v>Saudi Arabia</v>
      </c>
      <c r="C36" s="122">
        <f>INDEX(Assumptions!$C$50:$E$54,MATCH($B36,Assumptions!$B$50:$B$54,0),3)</f>
        <v>30</v>
      </c>
      <c r="D36" s="123">
        <f>INDEX(Assumptions!$M$50:$M$54,MATCH($B36,Assumptions!$B$50:$B$54,0),1)</f>
        <v>1.45</v>
      </c>
      <c r="E36" s="124">
        <f>C36*D36</f>
        <v>43.5</v>
      </c>
      <c r="F36" s="125">
        <f>MAX(Assumptions!$F$66,Assumptions!$F$14*(1-Assumptions!$F$65)^INDEX(Assumptions!$F$50:$H$54,MATCH($B36,Assumptions!$B$50:$B$54,0),3))</f>
        <v>7.1581635692470655</v>
      </c>
      <c r="G36" s="126">
        <f>IT_load_MW*D36*Hours_per_year*C36*Paid_occupancy/Unit_scale</f>
        <v>33.533279999999998</v>
      </c>
      <c r="H36" s="126">
        <f>IT_load_MW*Assumptions!$F$12*Hours_per_year*F36*Paid_occupancy/Unit_scale</f>
        <v>3310.851079356707</v>
      </c>
      <c r="I36" s="118">
        <f>G36/H36</f>
        <v>1.0128296077428968E-2</v>
      </c>
      <c r="J36" s="127" t="str">
        <f>IF(I36&lt;Assumptions!$C$76,"thin",IF(I36&lt;Assumptions!$C$77,"material","power-heavy"))</f>
        <v>thin</v>
      </c>
    </row>
    <row r="38" spans="1:10" x14ac:dyDescent="0.2">
      <c r="A38" s="128" t="s">
        <v>2419</v>
      </c>
    </row>
    <row r="40" spans="1:10" x14ac:dyDescent="0.2">
      <c r="A40" s="128" t="s">
        <v>2420</v>
      </c>
    </row>
  </sheetData>
  <sheetProtection sheet="1"/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Q46"/>
  <sheetViews>
    <sheetView showGridLines="0" zoomScale="85" zoomScaleNormal="85" workbookViewId="0">
      <pane ySplit="2" topLeftCell="A3" activePane="bottomLeft" state="frozen"/>
      <selection activeCell="R16" sqref="R16"/>
      <selection pane="bottomLeft" activeCell="R51" sqref="R51:S51"/>
    </sheetView>
  </sheetViews>
  <sheetFormatPr baseColWidth="10" defaultColWidth="8.6640625" defaultRowHeight="15" x14ac:dyDescent="0.2"/>
  <cols>
    <col min="1" max="1" width="4" customWidth="1"/>
    <col min="2" max="2" width="44" customWidth="1"/>
    <col min="3" max="7" width="13" customWidth="1"/>
  </cols>
  <sheetData>
    <row r="1" spans="1:7" ht="17.25" customHeight="1" x14ac:dyDescent="0.2">
      <c r="A1" s="1" t="s">
        <v>2472</v>
      </c>
      <c r="C1" s="2" t="str">
        <f>IF(Checks!$C$4&gt;0,"MODEL IN ERROR","checks OK")</f>
        <v>checks OK</v>
      </c>
    </row>
    <row r="2" spans="1:7" ht="15" customHeight="1" x14ac:dyDescent="0.2">
      <c r="A2" s="5" t="s">
        <v>2473</v>
      </c>
    </row>
    <row r="4" spans="1:7" ht="15" customHeight="1" x14ac:dyDescent="0.2">
      <c r="A4" s="7" t="s">
        <v>2474</v>
      </c>
    </row>
    <row r="5" spans="1:7" ht="15" customHeight="1" x14ac:dyDescent="0.2">
      <c r="B5" s="4" t="str">
        <f>Assumptions!$B$5&amp;" "&amp;Assumptions!$B$4&amp;" / "&amp;Assumptions!$B$7</f>
        <v>Norway Base / Contracted</v>
      </c>
      <c r="C5" s="52" t="s">
        <v>2475</v>
      </c>
      <c r="D5" s="52" t="s">
        <v>2476</v>
      </c>
      <c r="E5" s="52" t="s">
        <v>42</v>
      </c>
    </row>
    <row r="6" spans="1:7" ht="15" customHeight="1" x14ac:dyDescent="0.2">
      <c r="B6" s="4" t="s">
        <v>2477</v>
      </c>
      <c r="C6" s="31">
        <f>Calculations!$C$10/Calculations!$C$9</f>
        <v>1.7485380116959062E-2</v>
      </c>
      <c r="D6" s="31">
        <f>(Calculations!$C$9-Calculations!$C$10-Calculations!$C$14)/Calculations!$C$9</f>
        <v>3.2798393694211933E-2</v>
      </c>
      <c r="E6" s="31">
        <f>Calculations!$C$14/Calculations!$C$9</f>
        <v>0.94971622618882889</v>
      </c>
    </row>
    <row r="8" spans="1:7" ht="15" customHeight="1" x14ac:dyDescent="0.2">
      <c r="B8" s="4" t="s">
        <v>2195</v>
      </c>
      <c r="C8" s="50">
        <f>Calculations!$C$10</f>
        <v>46.098623999999994</v>
      </c>
    </row>
    <row r="9" spans="1:7" ht="15" customHeight="1" x14ac:dyDescent="0.2">
      <c r="B9" s="4" t="s">
        <v>2478</v>
      </c>
      <c r="C9" s="50">
        <f>Calculations!$C$9</f>
        <v>2636.4096</v>
      </c>
    </row>
    <row r="10" spans="1:7" ht="15" customHeight="1" x14ac:dyDescent="0.2">
      <c r="B10" s="4" t="s">
        <v>2479</v>
      </c>
      <c r="C10" s="50">
        <f>Calculations!$C$14</f>
        <v>2503.840976</v>
      </c>
    </row>
    <row r="12" spans="1:7" ht="15" customHeight="1" x14ac:dyDescent="0.2">
      <c r="B12" s="4" t="s">
        <v>2480</v>
      </c>
      <c r="C12" s="9">
        <f>--(ABS(C6+D6+E6-1)&gt;0.001)</f>
        <v>0</v>
      </c>
    </row>
    <row r="15" spans="1:7" ht="15" customHeight="1" x14ac:dyDescent="0.2">
      <c r="A15" s="7" t="s">
        <v>2481</v>
      </c>
    </row>
    <row r="16" spans="1:7" ht="15" customHeight="1" x14ac:dyDescent="0.2">
      <c r="B16" s="11" t="s">
        <v>2182</v>
      </c>
      <c r="C16" s="71" t="str">
        <f>Comparison!C6</f>
        <v>Norway</v>
      </c>
      <c r="D16" s="71" t="str">
        <f>Comparison!D6</f>
        <v>United States</v>
      </c>
      <c r="E16" s="71" t="str">
        <f>Comparison!E6</f>
        <v>India</v>
      </c>
      <c r="F16" s="71" t="str">
        <f>Comparison!F6</f>
        <v>Ireland</v>
      </c>
      <c r="G16" s="71" t="str">
        <f>Comparison!G6</f>
        <v>Saudi Arabia</v>
      </c>
    </row>
    <row r="17" spans="1:7" ht="15" customHeight="1" x14ac:dyDescent="0.2">
      <c r="B17" s="4" t="s">
        <v>2315</v>
      </c>
      <c r="C17" s="29">
        <f>Comparison!C17</f>
        <v>3.648000000000001</v>
      </c>
      <c r="D17" s="29">
        <f>Comparison!D17</f>
        <v>2.5</v>
      </c>
      <c r="E17" s="29">
        <f>Comparison!E17</f>
        <v>2.918400000000001</v>
      </c>
      <c r="F17" s="29">
        <f>Comparison!F17</f>
        <v>2.5</v>
      </c>
      <c r="G17" s="29">
        <f>Comparison!G17</f>
        <v>3.648000000000001</v>
      </c>
    </row>
    <row r="18" spans="1:7" ht="15" customHeight="1" x14ac:dyDescent="0.2">
      <c r="B18" s="4" t="s">
        <v>2482</v>
      </c>
      <c r="C18" s="50">
        <f>Comparison!C19</f>
        <v>46.098623999999994</v>
      </c>
      <c r="D18" s="50">
        <f>Comparison!D19</f>
        <v>60.128639999999997</v>
      </c>
      <c r="E18" s="50">
        <f>Comparison!E19</f>
        <v>109.85039999999999</v>
      </c>
      <c r="F18" s="50">
        <f>Comparison!F19</f>
        <v>138.75839999999999</v>
      </c>
      <c r="G18" s="50">
        <f>Comparison!G19</f>
        <v>53.653247999999998</v>
      </c>
    </row>
    <row r="19" spans="1:7" ht="15" customHeight="1" x14ac:dyDescent="0.2">
      <c r="B19" s="4" t="s">
        <v>2483</v>
      </c>
      <c r="C19" s="50">
        <f>Comparison!C18</f>
        <v>1687.3021440000002</v>
      </c>
      <c r="D19" s="50">
        <f>Comparison!D18</f>
        <v>1156.32</v>
      </c>
      <c r="E19" s="50">
        <f>Comparison!E18</f>
        <v>1349.8417152000004</v>
      </c>
      <c r="F19" s="50">
        <f>Comparison!F18</f>
        <v>1156.32</v>
      </c>
      <c r="G19" s="50">
        <f>Comparison!G18</f>
        <v>1687.3021440000002</v>
      </c>
    </row>
    <row r="20" spans="1:7" ht="15" customHeight="1" x14ac:dyDescent="0.2">
      <c r="B20" s="4" t="s">
        <v>2484</v>
      </c>
      <c r="C20" s="31">
        <f>Comparison!C19/Comparison!C18</f>
        <v>2.732090643274853E-2</v>
      </c>
      <c r="D20" s="31">
        <f>Comparison!D19/Comparison!D18</f>
        <v>5.1999999999999998E-2</v>
      </c>
      <c r="E20" s="31">
        <f>Comparison!E19/Comparison!E18</f>
        <v>8.1380208333333301E-2</v>
      </c>
      <c r="F20" s="31">
        <f>Comparison!F19/Comparison!F18</f>
        <v>0.12</v>
      </c>
      <c r="G20" s="31">
        <f>Comparison!G19/Comparison!G18</f>
        <v>3.1798245614035082E-2</v>
      </c>
    </row>
    <row r="21" spans="1:7" ht="15" customHeight="1" x14ac:dyDescent="0.2">
      <c r="B21" s="4" t="s">
        <v>2485</v>
      </c>
      <c r="C21" s="31">
        <f>Comparison!C23/Comparison!C18</f>
        <v>0.92143160342004526</v>
      </c>
      <c r="D21" s="31">
        <f>Comparison!D23/Comparison!D18</f>
        <v>0.86023882662238838</v>
      </c>
      <c r="E21" s="31">
        <f>Comparison!E23/Comparison!E18</f>
        <v>0.85138598271110821</v>
      </c>
      <c r="F21" s="31">
        <f>Comparison!F23/Comparison!F18</f>
        <v>0.80888646741386472</v>
      </c>
      <c r="G21" s="31">
        <f>Comparison!G23/Comparison!G18</f>
        <v>0.92011167147547934</v>
      </c>
    </row>
    <row r="22" spans="1:7" ht="15" customHeight="1" x14ac:dyDescent="0.2">
      <c r="B22" s="4" t="s">
        <v>2492</v>
      </c>
      <c r="C22" s="80">
        <f>1-C20</f>
        <v>0.97267909356725146</v>
      </c>
      <c r="D22" s="80">
        <f t="shared" ref="D22:G22" si="0">1-D20</f>
        <v>0.94799999999999995</v>
      </c>
      <c r="E22" s="80">
        <f t="shared" si="0"/>
        <v>0.91861979166666674</v>
      </c>
      <c r="F22" s="80">
        <f t="shared" si="0"/>
        <v>0.88</v>
      </c>
      <c r="G22" s="80">
        <f t="shared" si="0"/>
        <v>0.9682017543859649</v>
      </c>
    </row>
    <row r="23" spans="1:7" ht="15" customHeight="1" x14ac:dyDescent="0.2">
      <c r="B23" s="4" t="s">
        <v>2486</v>
      </c>
      <c r="C23" s="21" t="str">
        <f>IF(C20&lt;Assumptions!$C$76,"thin",IF(C20&lt;Assumptions!$C$77,"material","power-heavy"))</f>
        <v>thin</v>
      </c>
      <c r="D23" s="21" t="str">
        <f>IF(D20&lt;Assumptions!$C$76,"thin",IF(D20&lt;Assumptions!$C$77,"material","power-heavy"))</f>
        <v>thin</v>
      </c>
      <c r="E23" s="21" t="str">
        <f>IF(E20&lt;Assumptions!$C$76,"thin",IF(E20&lt;Assumptions!$C$77,"material","power-heavy"))</f>
        <v>thin</v>
      </c>
      <c r="F23" s="21" t="str">
        <f>IF(F20&lt;Assumptions!$C$76,"thin",IF(F20&lt;Assumptions!$C$77,"material","power-heavy"))</f>
        <v>material</v>
      </c>
      <c r="G23" s="21" t="str">
        <f>IF(G20&lt;Assumptions!$C$76,"thin",IF(G20&lt;Assumptions!$C$77,"material","power-heavy"))</f>
        <v>thin</v>
      </c>
    </row>
    <row r="24" spans="1:7" ht="15" customHeight="1" x14ac:dyDescent="0.2">
      <c r="B24" s="22" t="s">
        <v>2487</v>
      </c>
      <c r="C24" s="68">
        <f>Comparison!C19*Compute_P0/(Assumptions!$C$76*Calculations!$C$9)</f>
        <v>0.99666666666666648</v>
      </c>
      <c r="D24" s="68">
        <f>Comparison!D19*Compute_P0/(Assumptions!$C$76*Calculations!$C$9)</f>
        <v>1.3</v>
      </c>
      <c r="E24" s="68">
        <f>Comparison!E19*Compute_P0/(Assumptions!$C$76*Calculations!$C$9)</f>
        <v>2.375</v>
      </c>
      <c r="F24" s="68">
        <f>Comparison!F19*Compute_P0/(Assumptions!$C$76*Calculations!$C$9)</f>
        <v>3</v>
      </c>
      <c r="G24" s="68">
        <f>Comparison!G19*Compute_P0/(Assumptions!$C$76*Calculations!$C$9)</f>
        <v>1.1599999999999999</v>
      </c>
    </row>
    <row r="25" spans="1:7" ht="15" customHeight="1" x14ac:dyDescent="0.2">
      <c r="B25" s="4" t="s">
        <v>2488</v>
      </c>
      <c r="C25" s="28">
        <f>Comparison!C19*Compute_P0/(Assumptions!$C$77*Calculations!$C$9)</f>
        <v>0.49833333333333324</v>
      </c>
      <c r="D25" s="28">
        <f>Comparison!D19*Compute_P0/(Assumptions!$C$77*Calculations!$C$9)</f>
        <v>0.65</v>
      </c>
      <c r="E25" s="28">
        <f>Comparison!E19*Compute_P0/(Assumptions!$C$77*Calculations!$C$9)</f>
        <v>1.1875</v>
      </c>
      <c r="F25" s="28">
        <f>Comparison!F19*Compute_P0/(Assumptions!$C$77*Calculations!$C$9)</f>
        <v>1.5</v>
      </c>
      <c r="G25" s="28">
        <f>Comparison!G19*Compute_P0/(Assumptions!$C$77*Calculations!$C$9)</f>
        <v>0.57999999999999996</v>
      </c>
    </row>
    <row r="26" spans="1:7" x14ac:dyDescent="0.2">
      <c r="B26" s="4" t="s">
        <v>2489</v>
      </c>
      <c r="C26" s="21" t="str">
        <f>IF(C17&lt;=C24,"YES","no")</f>
        <v>no</v>
      </c>
      <c r="D26" s="21" t="str">
        <f>IF(D17&lt;=D24,"YES","no")</f>
        <v>no</v>
      </c>
      <c r="E26" s="21" t="str">
        <f>IF(E17&lt;=E24,"YES","no")</f>
        <v>no</v>
      </c>
      <c r="F26" s="21" t="str">
        <f>IF(F17&lt;=F24,"YES","no")</f>
        <v>YES</v>
      </c>
      <c r="G26" s="21" t="str">
        <f>IF(G17&lt;=G24,"YES","no")</f>
        <v>no</v>
      </c>
    </row>
    <row r="27" spans="1:7" ht="15" customHeight="1" x14ac:dyDescent="0.2">
      <c r="A27" s="5" t="s">
        <v>2490</v>
      </c>
    </row>
    <row r="30" spans="1:7" ht="15" customHeight="1" x14ac:dyDescent="0.2">
      <c r="A30" s="23" t="s">
        <v>2491</v>
      </c>
    </row>
    <row r="31" spans="1:7" ht="15" customHeight="1" x14ac:dyDescent="0.2"/>
    <row r="32" spans="1:7" ht="15" customHeight="1" x14ac:dyDescent="0.2">
      <c r="B32" s="63"/>
      <c r="C32" s="57"/>
      <c r="F32" s="73"/>
      <c r="G32" s="57"/>
    </row>
    <row r="33" spans="2:17" ht="15" customHeight="1" x14ac:dyDescent="0.2">
      <c r="B33" s="63"/>
      <c r="C33" s="57"/>
      <c r="F33" s="73"/>
      <c r="G33" s="57"/>
      <c r="L33" s="108"/>
    </row>
    <row r="34" spans="2:17" ht="15" customHeight="1" x14ac:dyDescent="0.2">
      <c r="B34" s="63"/>
      <c r="C34" s="57"/>
      <c r="F34" s="73"/>
      <c r="G34" s="57"/>
    </row>
    <row r="35" spans="2:17" ht="15" customHeight="1" x14ac:dyDescent="0.2">
      <c r="B35" s="63"/>
      <c r="C35" s="57"/>
      <c r="F35" s="73"/>
      <c r="G35" s="57"/>
    </row>
    <row r="36" spans="2:17" ht="15" customHeight="1" x14ac:dyDescent="0.2">
      <c r="B36" s="63"/>
      <c r="C36" s="57"/>
      <c r="F36" s="73"/>
      <c r="G36" s="57"/>
    </row>
    <row r="37" spans="2:17" ht="15" customHeight="1" x14ac:dyDescent="0.2">
      <c r="B37" s="63"/>
      <c r="C37" s="57"/>
    </row>
    <row r="38" spans="2:17" ht="15" customHeight="1" x14ac:dyDescent="0.2">
      <c r="B38" s="63"/>
      <c r="C38" s="57"/>
      <c r="Q38" s="108"/>
    </row>
    <row r="39" spans="2:17" ht="15" customHeight="1" x14ac:dyDescent="0.2">
      <c r="B39" s="63"/>
      <c r="C39" s="57"/>
    </row>
    <row r="46" spans="2:17" x14ac:dyDescent="0.2">
      <c r="C46" s="108"/>
    </row>
  </sheetData>
  <sheetProtection sheet="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833C00"/>
  </sheetPr>
  <dimension ref="A1:F1"/>
  <sheetViews>
    <sheetView showGridLines="0" zoomScale="85" zoomScaleNormal="85" workbookViewId="0">
      <selection activeCell="R16" sqref="R16"/>
    </sheetView>
  </sheetViews>
  <sheetFormatPr baseColWidth="10" defaultColWidth="8.6640625" defaultRowHeight="15" x14ac:dyDescent="0.2"/>
  <cols>
    <col min="1" max="1" width="4" customWidth="1"/>
  </cols>
  <sheetData>
    <row r="1" spans="1:6" ht="15.75" customHeight="1" x14ac:dyDescent="0.2">
      <c r="A1" s="18" t="s">
        <v>2421</v>
      </c>
      <c r="B1" s="19"/>
      <c r="C1" s="19"/>
      <c r="D1" s="19"/>
      <c r="E1" s="19"/>
      <c r="F1" s="19"/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00000"/>
  </sheetPr>
  <dimension ref="A1:F36"/>
  <sheetViews>
    <sheetView showGridLines="0" zoomScale="85" zoomScaleNormal="85" workbookViewId="0">
      <pane ySplit="6" topLeftCell="A7" activePane="bottomLeft" state="frozen"/>
      <selection activeCell="R16" sqref="R16"/>
      <selection pane="bottomLeft" activeCell="E10" sqref="E10"/>
    </sheetView>
  </sheetViews>
  <sheetFormatPr baseColWidth="10" defaultColWidth="8.6640625" defaultRowHeight="15" x14ac:dyDescent="0.2"/>
  <cols>
    <col min="1" max="1" width="54" customWidth="1"/>
    <col min="2" max="2" width="14" customWidth="1"/>
    <col min="3" max="3" width="16" customWidth="1"/>
    <col min="4" max="4" width="10" customWidth="1"/>
    <col min="5" max="5" width="8" customWidth="1"/>
    <col min="6" max="6" width="60" customWidth="1"/>
  </cols>
  <sheetData>
    <row r="1" spans="1:3" ht="17.25" customHeight="1" x14ac:dyDescent="0.2">
      <c r="A1" s="1" t="s">
        <v>107</v>
      </c>
      <c r="C1" s="2" t="str">
        <f>IF(Checks!$C$4&gt;0,"MODEL IN ERROR","checks OK")</f>
        <v>checks OK</v>
      </c>
    </row>
    <row r="2" spans="1:3" ht="15" customHeight="1" x14ac:dyDescent="0.2">
      <c r="A2" s="4" t="s">
        <v>2422</v>
      </c>
      <c r="C2" s="29">
        <v>0.5</v>
      </c>
    </row>
    <row r="4" spans="1:3" ht="15" customHeight="1" x14ac:dyDescent="0.2">
      <c r="A4" s="22" t="s">
        <v>2423</v>
      </c>
      <c r="C4" s="2">
        <f>SUM(C7:C10)+SUM(C17:C19)+SUM(C21:C25)+C27+C30+C20</f>
        <v>0</v>
      </c>
    </row>
    <row r="5" spans="1:3" ht="15" customHeight="1" x14ac:dyDescent="0.2">
      <c r="A5" s="4" t="s">
        <v>2424</v>
      </c>
      <c r="C5" s="4">
        <f>SUM(C12:C16)+C26+C29</f>
        <v>0</v>
      </c>
    </row>
    <row r="6" spans="1:3" ht="15" customHeight="1" x14ac:dyDescent="0.2">
      <c r="A6" s="11" t="s">
        <v>32</v>
      </c>
      <c r="B6" s="11" t="s">
        <v>2090</v>
      </c>
      <c r="C6" s="11" t="s">
        <v>2425</v>
      </c>
    </row>
    <row r="7" spans="1:3" ht="15" customHeight="1" x14ac:dyDescent="0.2">
      <c r="A7" s="4" t="s">
        <v>2426</v>
      </c>
      <c r="B7" s="48">
        <f>Calculations!C61-INDEX(Comparison!$C$38:$G$38,MATCH(Assumptions!$B$5,Comparison!$C$6:$G$6,0))</f>
        <v>0</v>
      </c>
      <c r="C7" s="9">
        <f>--(ABS($B7)&gt;ErrorTolerance)</f>
        <v>0</v>
      </c>
    </row>
    <row r="8" spans="1:3" ht="15" customHeight="1" x14ac:dyDescent="0.2">
      <c r="A8" s="4" t="s">
        <v>2427</v>
      </c>
      <c r="B8" s="48">
        <f>Calculations!$C$20+GPU_life-1</f>
        <v>6</v>
      </c>
      <c r="C8" s="9">
        <f>--((Calculations!$C$20+GPU_life)&gt;19)</f>
        <v>0</v>
      </c>
    </row>
    <row r="9" spans="1:3" ht="15" customHeight="1" x14ac:dyDescent="0.2">
      <c r="A9" s="4" t="s">
        <v>2428</v>
      </c>
      <c r="B9" s="48">
        <f>--OR(ISERROR(Calculations!C61),ISERROR(Calculations!C64))</f>
        <v>0</v>
      </c>
      <c r="C9" s="9">
        <f>--OR(ISERROR(Calculations!C61),ISERROR(Calculations!C64))</f>
        <v>0</v>
      </c>
    </row>
    <row r="10" spans="1:3" ht="15" customHeight="1" x14ac:dyDescent="0.2">
      <c r="A10" s="4" t="s">
        <v>2429</v>
      </c>
      <c r="B10" s="50">
        <f>Calculations!C58</f>
        <v>0</v>
      </c>
      <c r="C10" s="9">
        <f>--(Calculations!C58&gt;0)</f>
        <v>0</v>
      </c>
    </row>
    <row r="11" spans="1:3" ht="15" customHeight="1" x14ac:dyDescent="0.2">
      <c r="A11" s="5" t="s">
        <v>2430</v>
      </c>
    </row>
    <row r="12" spans="1:3" ht="15" customHeight="1" x14ac:dyDescent="0.2">
      <c r="A12" s="4" t="s">
        <v>2431</v>
      </c>
      <c r="B12" s="28">
        <f>Calculations!$C$10/Calculations!$C$9</f>
        <v>1.7485380116959062E-2</v>
      </c>
      <c r="C12" s="4">
        <f>--OR(Calculations!$C$10/Calculations!$C$9&lt;0.01,Calculations!$C$10/Calculations!$C$9&gt;0.4)</f>
        <v>0</v>
      </c>
    </row>
    <row r="13" spans="1:3" ht="15" customHeight="1" x14ac:dyDescent="0.2">
      <c r="A13" s="4" t="s">
        <v>2432</v>
      </c>
      <c r="B13" s="29">
        <f>Calculations!C62</f>
        <v>0.18467512957830179</v>
      </c>
      <c r="C13" s="4">
        <f>IF(ISNUMBER(Calculations!C62),--OR(Calculations!C62&lt;-0.2,Calculations!C62&gt;0.4),0)</f>
        <v>0</v>
      </c>
    </row>
    <row r="14" spans="1:3" ht="15" customHeight="1" x14ac:dyDescent="0.2">
      <c r="A14" s="4" t="s">
        <v>2433</v>
      </c>
      <c r="B14" s="29">
        <f>Calculations!C64</f>
        <v>0.59483429345729344</v>
      </c>
      <c r="C14" s="4">
        <f>IF(ISNUMBER(Calculations!C64),--(Calculations!C64&gt;1),0)</f>
        <v>0</v>
      </c>
    </row>
    <row r="15" spans="1:3" ht="15" customHeight="1" x14ac:dyDescent="0.2">
      <c r="A15" s="4" t="s">
        <v>2434</v>
      </c>
      <c r="B15" s="28">
        <f>Assumptions!$F$34-Assumptions!$G$16</f>
        <v>10</v>
      </c>
      <c r="C15" s="4">
        <f>--(Assumptions!$F$34&lt;Assumptions!$G$16)</f>
        <v>0</v>
      </c>
    </row>
    <row r="16" spans="1:3" ht="15" customHeight="1" x14ac:dyDescent="0.2">
      <c r="A16" s="7" t="s">
        <v>2435</v>
      </c>
      <c r="B16" s="80">
        <f>'Power Build-up'!$C$13</f>
        <v>5.4545454545454543E-2</v>
      </c>
      <c r="C16">
        <f>'Power Build-up'!$D$13</f>
        <v>0</v>
      </c>
    </row>
    <row r="17" spans="1:5" ht="15" customHeight="1" x14ac:dyDescent="0.2">
      <c r="A17" s="4" t="s">
        <v>2436</v>
      </c>
      <c r="B17" s="50">
        <f>'Unit Economics'!$C$15</f>
        <v>42.599999999999994</v>
      </c>
      <c r="C17" s="9">
        <f>--OR('Unit Economics'!$C$15&lt;'Unit Economics'!$D$15,'Unit Economics'!$C$15&gt;'Unit Economics'!$E$15)</f>
        <v>0</v>
      </c>
    </row>
    <row r="18" spans="1:5" ht="15" customHeight="1" x14ac:dyDescent="0.2">
      <c r="A18" s="4" t="s">
        <v>2437</v>
      </c>
      <c r="B18" s="50">
        <f>'Unit Economics'!$C$16</f>
        <v>26.364096</v>
      </c>
      <c r="C18" s="9">
        <f>--OR('Unit Economics'!$C$16&lt;'Unit Economics'!$D$16,'Unit Economics'!$C$16&gt;'Unit Economics'!$E$16)</f>
        <v>0</v>
      </c>
    </row>
    <row r="19" spans="1:5" ht="15" customHeight="1" x14ac:dyDescent="0.2">
      <c r="A19" s="4" t="s">
        <v>2438</v>
      </c>
      <c r="B19" s="50">
        <f>'Buildout Schedule'!$H$3</f>
        <v>0</v>
      </c>
      <c r="C19" s="9">
        <f>--OR('Buildout Schedule'!$H$3&gt;ErrorTolerance,ABS('Unit Economics'!$C$21)&gt;ErrorTolerance)</f>
        <v>0</v>
      </c>
    </row>
    <row r="20" spans="1:5" ht="15" customHeight="1" x14ac:dyDescent="0.2">
      <c r="A20" s="7" t="s">
        <v>2439</v>
      </c>
      <c r="B20">
        <f>'Energy Security'!$C$15</f>
        <v>0</v>
      </c>
      <c r="C20">
        <f>'Energy Security'!$D$15</f>
        <v>0</v>
      </c>
    </row>
    <row r="21" spans="1:5" ht="15" customHeight="1" x14ac:dyDescent="0.2">
      <c r="A21" s="4" t="s">
        <v>2440</v>
      </c>
      <c r="B21" s="48">
        <f>'GPU Specs'!$F$7-Assumptions!$G$12</f>
        <v>0</v>
      </c>
      <c r="C21" s="9">
        <f>--(ABS($B21)&gt;0)</f>
        <v>0</v>
      </c>
    </row>
    <row r="22" spans="1:5" ht="15" customHeight="1" x14ac:dyDescent="0.2">
      <c r="A22" s="4" t="s">
        <v>2441</v>
      </c>
      <c r="B22" s="48">
        <f>$E$36</f>
        <v>0</v>
      </c>
      <c r="C22" s="9">
        <f>--($E$36&gt;0)</f>
        <v>0</v>
      </c>
    </row>
    <row r="23" spans="1:5" ht="15" customHeight="1" x14ac:dyDescent="0.2">
      <c r="A23" s="4" t="s">
        <v>2442</v>
      </c>
      <c r="B23" s="48">
        <f>SUMPRODUCT(ABS('Power Build-up'!$E$5:$E$9-Assumptions!$D$50:$D$54))</f>
        <v>0</v>
      </c>
      <c r="C23" s="9">
        <f>--(ABS($B23)&gt;ErrorTolerance)</f>
        <v>0</v>
      </c>
    </row>
    <row r="24" spans="1:5" ht="15" customHeight="1" x14ac:dyDescent="0.2">
      <c r="A24" s="4" t="s">
        <v>2443</v>
      </c>
      <c r="B24" s="48">
        <f>SUMPRODUCT(ABS('WACC Build-up'!$F$6:$F$10-Assumptions!$J$50:$J$54))</f>
        <v>1.9999999999997797E-4</v>
      </c>
      <c r="C24" s="9">
        <f>--(ABS($B24)&gt;0.001)</f>
        <v>0</v>
      </c>
    </row>
    <row r="25" spans="1:5" ht="15" customHeight="1" x14ac:dyDescent="0.2">
      <c r="A25" s="4" t="s">
        <v>2444</v>
      </c>
      <c r="B25" s="50">
        <f>'Capex Stack'!$C$11</f>
        <v>0</v>
      </c>
      <c r="C25" s="9">
        <f>--(ABS($B25)&gt;ErrorTolerance)</f>
        <v>0</v>
      </c>
    </row>
    <row r="26" spans="1:5" ht="15" customHeight="1" x14ac:dyDescent="0.2">
      <c r="A26" s="4" t="s">
        <v>2445</v>
      </c>
      <c r="B26" s="48">
        <f>Sensitivity!C44-Sensitivity!C15</f>
        <v>-2.2737367544323206E-12</v>
      </c>
      <c r="C26" s="9">
        <f>--((Sensitivity!C48+Sensitivity!C76)&gt;0)</f>
        <v>0</v>
      </c>
    </row>
    <row r="27" spans="1:5" ht="15" customHeight="1" x14ac:dyDescent="0.2">
      <c r="A27" s="4" t="s">
        <v>2446</v>
      </c>
      <c r="B27" s="50">
        <f>'Deal Comparison'!$C$43</f>
        <v>0</v>
      </c>
      <c r="C27" s="9">
        <f>--('Deal Comparison'!$C$43&gt;ErrorTolerance)</f>
        <v>0</v>
      </c>
    </row>
    <row r="29" spans="1:5" ht="15" customHeight="1" x14ac:dyDescent="0.2">
      <c r="A29" s="4" t="s">
        <v>2447</v>
      </c>
      <c r="B29" s="50" t="str">
        <f>'Price Floor'!$B$32</f>
        <v>External-coherence flag (0=ok: band-low ≤ model floor ≤ band-high)</v>
      </c>
      <c r="C29" s="8">
        <f>'Price Floor'!$C$32</f>
        <v>0</v>
      </c>
    </row>
    <row r="30" spans="1:5" ht="15" customHeight="1" x14ac:dyDescent="0.2">
      <c r="B30" t="str">
        <f>'Price Floor'!$B$31</f>
        <v>Internal-consistency flag (0=ok; |Base floor − model floor|, enforced at Base·Contracted)</v>
      </c>
      <c r="C30">
        <f>'Price Floor'!$C$31</f>
        <v>0</v>
      </c>
    </row>
    <row r="31" spans="1:5" ht="15" customHeight="1" x14ac:dyDescent="0.2">
      <c r="A31" s="7" t="s">
        <v>2448</v>
      </c>
    </row>
    <row r="32" spans="1:5" ht="15" customHeight="1" x14ac:dyDescent="0.2">
      <c r="A32" s="11" t="s">
        <v>119</v>
      </c>
      <c r="B32" s="11" t="s">
        <v>2449</v>
      </c>
      <c r="C32" s="11" t="s">
        <v>299</v>
      </c>
      <c r="D32" s="11" t="s">
        <v>294</v>
      </c>
      <c r="E32" s="11" t="s">
        <v>2450</v>
      </c>
    </row>
    <row r="33" spans="1:6" ht="15" customHeight="1" x14ac:dyDescent="0.2">
      <c r="A33" s="4" t="s">
        <v>1930</v>
      </c>
      <c r="B33" s="29">
        <f>Assumptions!$D$14</f>
        <v>4</v>
      </c>
      <c r="C33" s="29">
        <v>3.4</v>
      </c>
      <c r="D33" s="29">
        <f>Assumptions!$E$14</f>
        <v>5.7</v>
      </c>
      <c r="E33" s="9">
        <f>--OR(B33&lt;C33,B33&gt;D33)</f>
        <v>0</v>
      </c>
      <c r="F33" s="5" t="s">
        <v>2451</v>
      </c>
    </row>
    <row r="34" spans="1:6" ht="15" customHeight="1" x14ac:dyDescent="0.2">
      <c r="A34" s="4" t="s">
        <v>1923</v>
      </c>
      <c r="B34" s="29">
        <f>Assumptions!$E$14</f>
        <v>5.7</v>
      </c>
      <c r="C34" s="29">
        <f>'Compute Price Data'!$C$20</f>
        <v>3.35</v>
      </c>
      <c r="D34" s="29">
        <f>'Compute Price Data'!$C$21</f>
        <v>8.1999999999999993</v>
      </c>
      <c r="E34" s="9">
        <f>--OR(B34&lt;C34,B34&gt;D34)</f>
        <v>0</v>
      </c>
      <c r="F34" s="5" t="s">
        <v>2452</v>
      </c>
    </row>
    <row r="35" spans="1:6" ht="15" customHeight="1" x14ac:dyDescent="0.2">
      <c r="A35" s="4" t="s">
        <v>1931</v>
      </c>
      <c r="B35" s="29">
        <f>Assumptions!$F$14</f>
        <v>9</v>
      </c>
      <c r="C35" s="29">
        <f>'Compute Price Data'!$C$21</f>
        <v>8.1999999999999993</v>
      </c>
      <c r="D35" s="29">
        <v>10</v>
      </c>
      <c r="E35" s="9">
        <f>--OR(B35&lt;C35,B35&gt;D35)</f>
        <v>0</v>
      </c>
      <c r="F35" s="5" t="s">
        <v>2453</v>
      </c>
    </row>
    <row r="36" spans="1:6" ht="15" customHeight="1" x14ac:dyDescent="0.2">
      <c r="A36" s="22" t="s">
        <v>2454</v>
      </c>
      <c r="E36" s="2">
        <f>SUM(E33:E35)</f>
        <v>0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00000"/>
  </sheetPr>
  <dimension ref="A1:D12"/>
  <sheetViews>
    <sheetView showGridLines="0" zoomScale="85" zoomScaleNormal="85" workbookViewId="0">
      <pane ySplit="4" topLeftCell="A5" activePane="bottomLeft" state="frozen"/>
      <selection activeCell="R16" sqref="R16"/>
      <selection pane="bottomLeft" activeCell="K24" sqref="K24"/>
    </sheetView>
  </sheetViews>
  <sheetFormatPr baseColWidth="10" defaultColWidth="8.6640625" defaultRowHeight="15" x14ac:dyDescent="0.2"/>
  <cols>
    <col min="1" max="1" width="16" customWidth="1"/>
    <col min="2" max="2" width="58" customWidth="1"/>
    <col min="3" max="3" width="12" customWidth="1"/>
    <col min="4" max="4" width="63" customWidth="1"/>
  </cols>
  <sheetData>
    <row r="1" spans="1:4" ht="17.25" customHeight="1" x14ac:dyDescent="0.2">
      <c r="A1" s="1" t="s">
        <v>109</v>
      </c>
      <c r="C1" s="2" t="str">
        <f>IF(Checks!$C$4&gt;0,"MODEL IN ERROR","checks OK")</f>
        <v>checks OK</v>
      </c>
    </row>
    <row r="2" spans="1:4" ht="15" customHeight="1" x14ac:dyDescent="0.2">
      <c r="A2" s="5" t="s">
        <v>2455</v>
      </c>
    </row>
    <row r="4" spans="1:4" ht="15" customHeight="1" x14ac:dyDescent="0.2">
      <c r="A4" s="11" t="s">
        <v>2456</v>
      </c>
      <c r="B4" s="11" t="s">
        <v>2457</v>
      </c>
      <c r="C4" s="11" t="s">
        <v>2458</v>
      </c>
      <c r="D4" s="11" t="s">
        <v>2459</v>
      </c>
    </row>
    <row r="5" spans="1:4" ht="15" customHeight="1" x14ac:dyDescent="0.2">
      <c r="A5" s="4" t="s">
        <v>2460</v>
      </c>
      <c r="B5" s="4" t="s">
        <v>2461</v>
      </c>
      <c r="C5" s="35" t="s">
        <v>2033</v>
      </c>
      <c r="D5" s="35" t="s">
        <v>2498</v>
      </c>
    </row>
    <row r="6" spans="1:4" ht="15" customHeight="1" x14ac:dyDescent="0.2">
      <c r="A6" s="4" t="s">
        <v>2460</v>
      </c>
      <c r="B6" s="4" t="s">
        <v>2462</v>
      </c>
      <c r="C6" s="35" t="s">
        <v>2033</v>
      </c>
      <c r="D6" s="35" t="s">
        <v>2495</v>
      </c>
    </row>
    <row r="7" spans="1:4" ht="15" customHeight="1" x14ac:dyDescent="0.2">
      <c r="A7" s="4" t="s">
        <v>2463</v>
      </c>
      <c r="B7" s="4" t="s">
        <v>2464</v>
      </c>
      <c r="C7" s="35" t="s">
        <v>2033</v>
      </c>
      <c r="D7" s="35" t="s">
        <v>2495</v>
      </c>
    </row>
    <row r="8" spans="1:4" ht="15" customHeight="1" x14ac:dyDescent="0.2">
      <c r="A8" s="4" t="s">
        <v>0</v>
      </c>
      <c r="B8" s="4" t="s">
        <v>2465</v>
      </c>
      <c r="C8" s="35" t="s">
        <v>2033</v>
      </c>
      <c r="D8" s="35" t="s">
        <v>2495</v>
      </c>
    </row>
    <row r="9" spans="1:4" ht="15" customHeight="1" x14ac:dyDescent="0.2">
      <c r="A9" s="4" t="s">
        <v>0</v>
      </c>
      <c r="B9" s="4" t="s">
        <v>2466</v>
      </c>
      <c r="C9" s="35" t="s">
        <v>2033</v>
      </c>
      <c r="D9" s="35" t="s">
        <v>2495</v>
      </c>
    </row>
    <row r="10" spans="1:4" ht="15" customHeight="1" x14ac:dyDescent="0.2">
      <c r="A10" s="4" t="s">
        <v>2467</v>
      </c>
      <c r="B10" s="4" t="s">
        <v>2468</v>
      </c>
      <c r="C10" s="35" t="s">
        <v>2033</v>
      </c>
      <c r="D10" s="35" t="s">
        <v>2495</v>
      </c>
    </row>
    <row r="11" spans="1:4" ht="15" customHeight="1" x14ac:dyDescent="0.2">
      <c r="A11" s="4" t="s">
        <v>107</v>
      </c>
      <c r="B11" s="4" t="s">
        <v>2469</v>
      </c>
      <c r="C11" s="35" t="s">
        <v>2033</v>
      </c>
      <c r="D11" s="35" t="s">
        <v>2495</v>
      </c>
    </row>
    <row r="12" spans="1:4" ht="15" customHeight="1" x14ac:dyDescent="0.2">
      <c r="A12" s="4" t="s">
        <v>2470</v>
      </c>
      <c r="B12" s="4" t="s">
        <v>2471</v>
      </c>
      <c r="C12" s="35" t="s">
        <v>2033</v>
      </c>
      <c r="D12" s="35" t="s">
        <v>2495</v>
      </c>
    </row>
  </sheetData>
  <sheetProtection sheet="1"/>
  <dataValidations count="1">
    <dataValidation type="list" allowBlank="1" sqref="C5:C12" xr:uid="{00000000-0002-0000-2100-000000000000}">
      <formula1>List_ReviewStatus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28</vt:i4>
      </vt:variant>
    </vt:vector>
  </HeadingPairs>
  <TitlesOfParts>
    <vt:vector size="61" baseType="lpstr">
      <vt:lpstr>Cover</vt:lpstr>
      <vt:lpstr>Model map</vt:lpstr>
      <vt:lpstr>Limitations</vt:lpstr>
      <vt:lpstr>▸ INPUTS</vt:lpstr>
      <vt:lpstr>Sources</vt:lpstr>
      <vt:lpstr>GPU Specs</vt:lpstr>
      <vt:lpstr>Compute Price Data</vt:lpstr>
      <vt:lpstr>Interconnection Queue</vt:lpstr>
      <vt:lpstr>Power Build-up</vt:lpstr>
      <vt:lpstr>WACC Build-up</vt:lpstr>
      <vt:lpstr>Assumptions</vt:lpstr>
      <vt:lpstr>▸ CALCULATIONS</vt:lpstr>
      <vt:lpstr>Capex Stack</vt:lpstr>
      <vt:lpstr>Unit Economics</vt:lpstr>
      <vt:lpstr>Buildout Schedule</vt:lpstr>
      <vt:lpstr>Calculations</vt:lpstr>
      <vt:lpstr>Country Engine</vt:lpstr>
      <vt:lpstr>Price Floor</vt:lpstr>
      <vt:lpstr>▸ OUTPUTS</vt:lpstr>
      <vt:lpstr>Comparison</vt:lpstr>
      <vt:lpstr>Sensitivity</vt:lpstr>
      <vt:lpstr>Price Path</vt:lpstr>
      <vt:lpstr>Country detail</vt:lpstr>
      <vt:lpstr>Power Timing</vt:lpstr>
      <vt:lpstr>Deal Comparison</vt:lpstr>
      <vt:lpstr>Asset Life</vt:lpstr>
      <vt:lpstr>Energy Security</vt:lpstr>
      <vt:lpstr>Three-Lens View</vt:lpstr>
      <vt:lpstr>Power Cost</vt:lpstr>
      <vt:lpstr>Revenue Mix</vt:lpstr>
      <vt:lpstr>▸ CHECKS</vt:lpstr>
      <vt:lpstr>Checks</vt:lpstr>
      <vt:lpstr>Review</vt:lpstr>
      <vt:lpstr>Compute_P0</vt:lpstr>
      <vt:lpstr>Deal_WACC_premium</vt:lpstr>
      <vt:lpstr>ErrorTolerance</vt:lpstr>
      <vt:lpstr>Facility_capex_MW</vt:lpstr>
      <vt:lpstr>Facility_salvage_pct</vt:lpstr>
      <vt:lpstr>Floor_ext_high</vt:lpstr>
      <vt:lpstr>Floor_ext_low</vt:lpstr>
      <vt:lpstr>FloorTolerance</vt:lpstr>
      <vt:lpstr>GPU_life</vt:lpstr>
      <vt:lpstr>GPU_salvage_pct</vt:lpstr>
      <vt:lpstr>Hours_per_year</vt:lpstr>
      <vt:lpstr>Insurance_rate</vt:lpstr>
      <vt:lpstr>IT_load_MW</vt:lpstr>
      <vt:lpstr>List_Country</vt:lpstr>
      <vt:lpstr>List_ReviewStatus</vt:lpstr>
      <vt:lpstr>List_Scenario</vt:lpstr>
      <vt:lpstr>OM_fixed</vt:lpstr>
      <vt:lpstr>Paid_occupancy</vt:lpstr>
      <vt:lpstr>Price_decline</vt:lpstr>
      <vt:lpstr>Price_floor</vt:lpstr>
      <vt:lpstr>Prop_tax_abatement</vt:lpstr>
      <vt:lpstr>Ramp_yr1</vt:lpstr>
      <vt:lpstr>Ramp_yr2</vt:lpstr>
      <vt:lpstr>Risk_free</vt:lpstr>
      <vt:lpstr>Shadow_carbon_price</vt:lpstr>
      <vt:lpstr>TTP_disp_hi</vt:lpstr>
      <vt:lpstr>TTP_disp_lo</vt:lpstr>
      <vt:lpstr>Unit_scale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Sessions 15, AI</cp:lastModifiedBy>
  <cp:revision>0</cp:revision>
  <dcterms:created xsi:type="dcterms:W3CDTF">2026-08-06T12:43:37Z</dcterms:created>
  <dcterms:modified xsi:type="dcterms:W3CDTF">2026-08-18T05:53:51Z</dcterms:modified>
  <dc:language>en-US</dc:language>
</cp:coreProperties>
</file>